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Assumptions" sheetId="2" state="visible" r:id="rId4"/>
    <sheet name="WBS" sheetId="3" state="visible" r:id="rId5"/>
    <sheet name="Quarter Plan" sheetId="4" state="visible" r:id="rId6"/>
    <sheet name="Summary" sheetId="5" state="visible" r:id="rId7"/>
    <sheet name="Releases" sheetId="6" state="visible" r:id="rId8"/>
    <sheet name="Sprints" sheetId="7" state="visible" r:id="rId9"/>
    <sheet name="Team" sheetId="8" state="visible" r:id="rId10"/>
    <sheet name="CapEx" sheetId="9" state="visible" r:id="rId11"/>
    <sheet name="Scenarios" sheetId="10" state="visible" r:id="rId12"/>
  </sheets>
  <definedNames>
    <definedName function="false" hidden="true" localSheetId="2" name="_xlnm._FilterDatabase" vbProcedure="false">WBS!$A$1:$Q$103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Net person-days including tests and docs (the nine DoD conditions). The 25% overhead is applied in Loaded PD.</t>
        </r>
      </text>
    </comment>
    <comment ref="H1" authorId="0">
      <text>
        <r>
          <rPr>
            <sz val="10"/>
            <rFont val="Arial"/>
            <family val="2"/>
          </rPr>
          <t xml:space="preserve">Quarter the item starts (1-12). Effort spreads evenly across Start Q..End Q on the Quarter Plan sheet.</t>
        </r>
      </text>
    </comment>
  </commentList>
</comments>
</file>

<file path=xl/sharedStrings.xml><?xml version="1.0" encoding="utf-8"?>
<sst xmlns="http://schemas.openxmlformats.org/spreadsheetml/2006/main" count="1228" uniqueCount="570">
  <si>
    <t xml:space="preserve">NGFW Master WBS - full TNSR parity + complete VPP 26.06 feature surface</t>
  </si>
  <si>
    <t xml:space="preserve">Baseline: VPP 26.06 (released 24 June 2026, 28 new features). TNSR scope from Netgate's published feature documentation. Prepared 2026-09-23.</t>
  </si>
  <si>
    <t xml:space="preserve">HOW TO USE THIS WORKBOOK</t>
  </si>
  <si>
    <t xml:space="preserve">Assumptions</t>
  </si>
  <si>
    <t xml:space="preserve">Every lever lives here: delivery FTE, effective PD per FTE-year, overhead factor, Q1 ramp, project start date. Change these and all other sheets recalculate.</t>
  </si>
  <si>
    <t xml:space="preserve">WBS</t>
  </si>
  <si>
    <t xml:space="preserve">The 102 work items. Edit ONLY the blue columns: Tier, Net PD, Start Q, End Q, Squad, Status, Owner. Black columns are formulas.</t>
  </si>
  <si>
    <t xml:space="preserve">Quarter Plan</t>
  </si>
  <si>
    <t xml:space="preserve">Capacity vs planned load per quarter, derived from each item's Start Q..End Q span. Keep utilisation at or below 100%.</t>
  </si>
  <si>
    <t xml:space="preserve">Summary</t>
  </si>
  <si>
    <t xml:space="preserve">Roll-ups by domain, tier and squad. All SUMIF - no hardcoded totals.</t>
  </si>
  <si>
    <t xml:space="preserve">Releases</t>
  </si>
  <si>
    <t xml:space="preserve">Release train with gate IDs and measurable acceptance criteria. Net PD per release is derived from the WBS.</t>
  </si>
  <si>
    <t xml:space="preserve">Sprints</t>
  </si>
  <si>
    <t xml:space="preserve">Sprint-level plan for the first six months. Dates derive from the project start date.</t>
  </si>
  <si>
    <t xml:space="preserve">Team</t>
  </si>
  <si>
    <t xml:space="preserve">Squads, headcount, hiring month.</t>
  </si>
  <si>
    <t xml:space="preserve">CapEx</t>
  </si>
  <si>
    <t xml:space="preserve">Lab hardware. Without the month-4 traffic generator no performance number is defensible.</t>
  </si>
  <si>
    <t xml:space="preserve">Scenarios</t>
  </si>
  <si>
    <t xml:space="preserve">Duration for five scope/team combinations, computed from the tier totals.</t>
  </si>
  <si>
    <t xml:space="preserve">COLOUR CONVENTION</t>
  </si>
  <si>
    <t xml:space="preserve">Blue text</t>
  </si>
  <si>
    <t xml:space="preserve">Hardcoded input - you are expected to edit it.</t>
  </si>
  <si>
    <t xml:space="preserve">Black text</t>
  </si>
  <si>
    <t xml:space="preserve">Formula - leave it alone.</t>
  </si>
  <si>
    <t xml:space="preserve">Green text</t>
  </si>
  <si>
    <t xml:space="preserve">Link to another sheet.</t>
  </si>
  <si>
    <t xml:space="preserve">Yellow fill</t>
  </si>
  <si>
    <t xml:space="preserve">Key assumption.</t>
  </si>
  <si>
    <t xml:space="preserve">ESTIMATING BASIS</t>
  </si>
  <si>
    <t xml:space="preserve">Unit</t>
  </si>
  <si>
    <t xml:space="preserve">Person-day (PD) of a mid-to-senior engineer. Effective working year = 190 PD after holidays, leave, meetings and support duty.</t>
  </si>
  <si>
    <t xml:space="preserve">What one PD includes</t>
  </si>
  <si>
    <t xml:space="preserve">All nine 'definition of done' conditions: data plane proven by a packet-level test; survives vpp restart and reboot; REST endpoint + OpenAPI + generated client; candidate/commit/rollback with failure paths; UI screen with schema-driven form and live status; en+fa strings; unit/integration/E2E tests; user doc + CLI equivalent; audit entry. Pure coding is about 45% of each number.</t>
  </si>
  <si>
    <t xml:space="preserve">Tiers</t>
  </si>
  <si>
    <t xml:space="preserve">T1 = needed to sell.  T2 = needed for TNSR parity.  T3 = complete VPP coverage, low commercial value.</t>
  </si>
  <si>
    <t xml:space="preserve">Source of the numbers</t>
  </si>
  <si>
    <t xml:space="preserve">Bottom-up expert judgement per domain, calibrated against the published TNSR feature set and the VPP 26.06 plugin inventory. No vendor figures exist for this scope - treat every estimate as an assumption and re-base it after Gate G2 (month 6), when the team's real velocity is measurable.</t>
  </si>
  <si>
    <t xml:space="preserve">EXAMPLE ROW (WBS sheet)</t>
  </si>
  <si>
    <t xml:space="preserve">D3.4 | D3 | Dynamic Routing | OSPFv2 | T1 | 55 | 5 | 5 | S2 | D3.2 | Not started</t>
  </si>
  <si>
    <t xml:space="preserve">ID | Domain | Domain name | Work item | Tier | Net PD | Start Q | End Q | Squad | Depends on | Status</t>
  </si>
  <si>
    <t xml:space="preserve">Assumptions and levers</t>
  </si>
  <si>
    <t xml:space="preserve">Blue cells on a yellow fill are inputs. Every other figure in this workbook derives from them.</t>
  </si>
  <si>
    <t xml:space="preserve">Lever</t>
  </si>
  <si>
    <t xml:space="preserve">Value</t>
  </si>
  <si>
    <t xml:space="preserve">Note</t>
  </si>
  <si>
    <t xml:space="preserve">Delivery FTE</t>
  </si>
  <si>
    <t xml:space="preserve">Engineers + QA + 50% of the architect. Headcount is 15-16.</t>
  </si>
  <si>
    <t xml:space="preserve">Effective PD per FTE per year</t>
  </si>
  <si>
    <t xml:space="preserve">260 working days minus holidays, leave, meetings and support duty.</t>
  </si>
  <si>
    <t xml:space="preserve">Overhead factor on estimates</t>
  </si>
  <si>
    <t xml:space="preserve">Management, cross-squad integration and rework. Applied to every net estimate.</t>
  </si>
  <si>
    <t xml:space="preserve">Quarters in plan</t>
  </si>
  <si>
    <t xml:space="preserve">36 months.</t>
  </si>
  <si>
    <t xml:space="preserve">Q1 ramp factor</t>
  </si>
  <si>
    <t xml:space="preserve">Hiring and onboarding - the first quarter delivers at half capacity.</t>
  </si>
  <si>
    <t xml:space="preserve">Project start date</t>
  </si>
  <si>
    <t xml:space="preserve">Drives every date on the Sprints sheet.</t>
  </si>
  <si>
    <t xml:space="preserve">Sprint length (weeks)</t>
  </si>
  <si>
    <t xml:space="preserve">Used by the Sprints sheet.</t>
  </si>
  <si>
    <t xml:space="preserve">Ramp-up + stabilisation months</t>
  </si>
  <si>
    <t xml:space="preserve">Calendar time no amount of staffing removes: ~1.5 months lost to hiring and onboarding, ~3.5 months of release stabilisation and gates. Added to every scenario's delivery months.</t>
  </si>
  <si>
    <t xml:space="preserve">DERIVED</t>
  </si>
  <si>
    <t xml:space="preserve">Capacity per full quarter (PD)</t>
  </si>
  <si>
    <t xml:space="preserve">Delivery FTE x PD per year / 4</t>
  </si>
  <si>
    <t xml:space="preserve">Total plan capacity (PD)</t>
  </si>
  <si>
    <t xml:space="preserve">11 full quarters + one ramp quarter</t>
  </si>
  <si>
    <t xml:space="preserve">Net scope (PD)</t>
  </si>
  <si>
    <t xml:space="preserve">Sum of every WBS item</t>
  </si>
  <si>
    <t xml:space="preserve">Loaded scope (PD)</t>
  </si>
  <si>
    <t xml:space="preserve">Net scope x overhead factor</t>
  </si>
  <si>
    <t xml:space="preserve">Utilisation of capacity</t>
  </si>
  <si>
    <t xml:space="preserve">Keep below 100% - the remainder is the contingency reserve</t>
  </si>
  <si>
    <t xml:space="preserve">Contingency reserve</t>
  </si>
  <si>
    <t xml:space="preserve">Do not spend this on new scope before month 30</t>
  </si>
  <si>
    <t xml:space="preserve">Delivery months at full capacity</t>
  </si>
  <si>
    <t xml:space="preserve">Excludes ramp-up and release-stabilisation time</t>
  </si>
  <si>
    <t xml:space="preserve">Re-base every figure on this sheet after Gate G2 (month 6), when the team's measured velocity replaces judgement.</t>
  </si>
  <si>
    <t xml:space="preserve">ID</t>
  </si>
  <si>
    <t xml:space="preserve">Domain</t>
  </si>
  <si>
    <t xml:space="preserve">Domain name</t>
  </si>
  <si>
    <t xml:space="preserve">Work item</t>
  </si>
  <si>
    <t xml:space="preserve">Tier</t>
  </si>
  <si>
    <t xml:space="preserve">Net PD</t>
  </si>
  <si>
    <t xml:space="preserve">Loaded PD</t>
  </si>
  <si>
    <t xml:space="preserve">Start Q</t>
  </si>
  <si>
    <t xml:space="preserve">End Q</t>
  </si>
  <si>
    <t xml:space="preserve">Quarters</t>
  </si>
  <si>
    <t xml:space="preserve">PD / quarter</t>
  </si>
  <si>
    <t xml:space="preserve">Squad</t>
  </si>
  <si>
    <t xml:space="preserve">Release</t>
  </si>
  <si>
    <t xml:space="preserve">Depends on</t>
  </si>
  <si>
    <t xml:space="preserve">Status</t>
  </si>
  <si>
    <t xml:space="preserve">Owner</t>
  </si>
  <si>
    <t xml:space="preserve">Notes</t>
  </si>
  <si>
    <t xml:space="preserve">D0.1</t>
  </si>
  <si>
    <t xml:space="preserve">D0</t>
  </si>
  <si>
    <t xml:space="preserve">Foundation &amp; Platform</t>
  </si>
  <si>
    <t xml:space="preserve">Monorepo, CI/CD, codegen pipeline (Zod -&gt; OpenAPI -&gt; client -&gt; proto -&gt; binapi)</t>
  </si>
  <si>
    <t xml:space="preserve">T1</t>
  </si>
  <si>
    <t xml:space="preserve">S6</t>
  </si>
  <si>
    <t xml:space="preserve">Not started</t>
  </si>
  <si>
    <t xml:space="preserve">CI must fail on dirty generated output</t>
  </si>
  <si>
    <t xml:space="preserve">D0.2</t>
  </si>
  <si>
    <t xml:space="preserve">Pinned VPP fork, patch management, VPP package build</t>
  </si>
  <si>
    <t xml:space="preserve">Track a stable release branch, never master</t>
  </si>
  <si>
    <t xml:space="preserve">D0.3</t>
  </si>
  <si>
    <t xml:space="preserve">OS image: Ubuntu 24.04 autoinstall + installer ISO</t>
  </si>
  <si>
    <t xml:space="preserve">D0.4</t>
  </si>
  <si>
    <t xml:space="preserve">Debian packaging, signed APT repository</t>
  </si>
  <si>
    <t xml:space="preserve">D0.5</t>
  </si>
  <si>
    <t xml:space="preserve">A/B image upgrade with automatic rollback</t>
  </si>
  <si>
    <t xml:space="preserve">Required for GA-1</t>
  </si>
  <si>
    <t xml:space="preserve">D0.6</t>
  </si>
  <si>
    <t xml:space="preserve">startup.conf generator: hugepages, workers, RSS, NUMA, isolcpus, PCI whitelist</t>
  </si>
  <si>
    <t xml:space="preserve">S1</t>
  </si>
  <si>
    <t xml:space="preserve">D0.7</t>
  </si>
  <si>
    <t xml:space="preserve">Agent core: govpp connection, stats reader, reconciler/KVScheduler, dependency graph</t>
  </si>
  <si>
    <t xml:space="preserve">CRITICAL PATH - everything depends on this</t>
  </si>
  <si>
    <t xml:space="preserve">D0.8</t>
  </si>
  <si>
    <t xml:space="preserve">API core: NestJS, candidate/running datastore, atomic commit, confirmed-commit, revisions, rollback</t>
  </si>
  <si>
    <t xml:space="preserve">S4</t>
  </si>
  <si>
    <t xml:space="preserve">CRITICAL PATH</t>
  </si>
  <si>
    <t xml:space="preserve">D0.9</t>
  </si>
  <si>
    <t xml:space="preserve">Auth, RBAC, audit log, API keys, TLS, TPM-backed secret store</t>
  </si>
  <si>
    <t xml:space="preserve">D0.10</t>
  </si>
  <si>
    <t xml:space="preserve">UI shell: theme, layout, i18n en/fa + RTL, SchemaForm renderer, DataGrid wrapper, WS client</t>
  </si>
  <si>
    <t xml:space="preserve">S5</t>
  </si>
  <si>
    <t xml:space="preserve">D0.11</t>
  </si>
  <si>
    <t xml:space="preserve">Interactive CLI (clixon-like: config mode, completion, show commands)</t>
  </si>
  <si>
    <t xml:space="preserve">TNSR's primary interface</t>
  </si>
  <si>
    <t xml:space="preserve">D0.12</t>
  </si>
  <si>
    <t xml:space="preserve">Telemetry pipeline: stats -&gt; gRPC stream -&gt; WS fan-out -&gt; Prometheus -&gt; history</t>
  </si>
  <si>
    <t xml:space="preserve">D0.13</t>
  </si>
  <si>
    <t xml:space="preserve">Test infra: containerlab/QEMU lab, Robot Framework, TRex harness, Playwright</t>
  </si>
  <si>
    <t xml:space="preserve">QA</t>
  </si>
  <si>
    <t xml:space="preserve">D1.1</t>
  </si>
  <si>
    <t xml:space="preserve">D1</t>
  </si>
  <si>
    <t xml:space="preserve">Interfaces &amp; L2</t>
  </si>
  <si>
    <t xml:space="preserve">NIC inventory and driver binding: dpdk, rdma, af_xdp, af_packet, vmxnet3, virtio, vhost-user, tap-v2, netmap, memif, pipe, Marvell mGig</t>
  </si>
  <si>
    <t xml:space="preserve">Fix a supported-hardware matrix; refuse 'any NIC'</t>
  </si>
  <si>
    <t xml:space="preserve">D1.2</t>
  </si>
  <si>
    <t xml:space="preserve">Interface basics: admin state, MTU, MAC, promisc, rx-mode, rx/tx queues, worker placement</t>
  </si>
  <si>
    <t xml:space="preserve">D1.3</t>
  </si>
  <si>
    <t xml:space="preserve">IPv4/IPv6 addressing + IP unnumbered</t>
  </si>
  <si>
    <t xml:space="preserve">D1.4</t>
  </si>
  <si>
    <t xml:space="preserve">802.1q sub-interfaces + QinQ/802.1ad stacking</t>
  </si>
  <si>
    <t xml:space="preserve">D1.5</t>
  </si>
  <si>
    <t xml:space="preserve">Bonding: LACP, XOR, round-robin, active-backup</t>
  </si>
  <si>
    <t xml:space="preserve">D1.6</t>
  </si>
  <si>
    <t xml:space="preserve">L2: bridge domains, cross-connect, L2XC, L3XC, split-horizon, MAC aging, time-range MAC filter</t>
  </si>
  <si>
    <t xml:space="preserve">D1.7</t>
  </si>
  <si>
    <t xml:space="preserve">LLDP</t>
  </si>
  <si>
    <t xml:space="preserve">T2</t>
  </si>
  <si>
    <t xml:space="preserve">D1.8</t>
  </si>
  <si>
    <t xml:space="preserve">VNET GSO, checksum offload, jumbo frames</t>
  </si>
  <si>
    <t xml:space="preserve">D1.9</t>
  </si>
  <si>
    <t xml:space="preserve">Network Delay Simulator (nsim)</t>
  </si>
  <si>
    <t xml:space="preserve">T3</t>
  </si>
  <si>
    <t xml:space="preserve">Test tool, not a product feature</t>
  </si>
  <si>
    <t xml:space="preserve">D1.10</t>
  </si>
  <si>
    <t xml:space="preserve">SPAN / ERSPAN mirroring</t>
  </si>
  <si>
    <t xml:space="preserve">D1.11</t>
  </si>
  <si>
    <t xml:space="preserve">Loopback / BVI interfaces</t>
  </si>
  <si>
    <t xml:space="preserve">D2.1</t>
  </si>
  <si>
    <t xml:space="preserve">D2</t>
  </si>
  <si>
    <t xml:space="preserve">L3, MPLS &amp; Multicast</t>
  </si>
  <si>
    <t xml:space="preserve">VRF/table management + Source VRF Select</t>
  </si>
  <si>
    <t xml:space="preserve">S2</t>
  </si>
  <si>
    <t xml:space="preserve">D2.2</t>
  </si>
  <si>
    <t xml:space="preserve">Static routes v4/v6, ECMP, weighted paths, DPO/adjacency view</t>
  </si>
  <si>
    <t xml:space="preserve">D2.3</t>
  </si>
  <si>
    <t xml:space="preserve">Neighbour DB: ARP, ND, proxy-ND, IPv6 RA, IPv6 DAD (new in 26.06)</t>
  </si>
  <si>
    <t xml:space="preserve">D2.4</t>
  </si>
  <si>
    <t xml:space="preserve">RPF strict/loose, ADL allow/deny lists, Auto-SDL</t>
  </si>
  <si>
    <t xml:space="preserve">D2.5</t>
  </si>
  <si>
    <t xml:space="preserve">FIB browser with server-side pagination (1M+ routes)</t>
  </si>
  <si>
    <t xml:space="preserve">D2.6</t>
  </si>
  <si>
    <t xml:space="preserve">Tools: ping, traceroute, ARP flush</t>
  </si>
  <si>
    <t xml:space="preserve">D2.7</t>
  </si>
  <si>
    <t xml:space="preserve">Classifier/classify tables, IP session redirect, ACL-Based Forwarding (PBR)</t>
  </si>
  <si>
    <t xml:space="preserve">D2.8</t>
  </si>
  <si>
    <t xml:space="preserve">MPLS: label operations, LSP, MPLS-over-Ethernet, basic L3VPN, SR-MPLS</t>
  </si>
  <si>
    <t xml:space="preserve">D3.3</t>
  </si>
  <si>
    <t xml:space="preserve">D2.9</t>
  </si>
  <si>
    <t xml:space="preserve">Multicast: IGMPv3, PIM via FRR, mfib, BIER</t>
  </si>
  <si>
    <t xml:space="preserve">D3.2</t>
  </si>
  <si>
    <t xml:space="preserve">BIER has near-zero commercial demand</t>
  </si>
  <si>
    <t xml:space="preserve">D3.1</t>
  </si>
  <si>
    <t xml:space="preserve">D3</t>
  </si>
  <si>
    <t xml:space="preserve">Dynamic Routing</t>
  </si>
  <si>
    <t xml:space="preserve">linux-cp / linux-nl hardening: interface pairs, state/MTU sync, VRF mapping, IPv6, full-table performance</t>
  </si>
  <si>
    <t xml:space="preserve">CRITICAL PATH - prototype in Q3, not Q5</t>
  </si>
  <si>
    <t xml:space="preserve">FRR lifecycle: renderer framework, JSON state readers, safe reload, dry-run</t>
  </si>
  <si>
    <t xml:space="preserve">BGP: core, AFI/SAFI v4/v6, communities, route-maps, prefix-lists, AS-path filters, peer-groups, RR, confederation, graceful restart, BGP Roles (RFC 9234), add-path, VPNv4/VPNv6</t>
  </si>
  <si>
    <t xml:space="preserve">D3.4</t>
  </si>
  <si>
    <t xml:space="preserve">OSPFv2</t>
  </si>
  <si>
    <t xml:space="preserve">D3.5</t>
  </si>
  <si>
    <t xml:space="preserve">OSPFv3</t>
  </si>
  <si>
    <t xml:space="preserve">D3.6</t>
  </si>
  <si>
    <t xml:space="preserve">IS-IS</t>
  </si>
  <si>
    <t xml:space="preserve">D3.7</t>
  </si>
  <si>
    <t xml:space="preserve">RIPv2 / RIPng</t>
  </si>
  <si>
    <t xml:space="preserve">D3.8</t>
  </si>
  <si>
    <t xml:space="preserve">BFD (native VPP plugin + FRR integration)</t>
  </si>
  <si>
    <t xml:space="preserve">D3.9</t>
  </si>
  <si>
    <t xml:space="preserve">Policy-based routing in API/UI</t>
  </si>
  <si>
    <t xml:space="preserve">D3.10</t>
  </si>
  <si>
    <t xml:space="preserve">Redistribution matrix and route-policy UX</t>
  </si>
  <si>
    <t xml:space="preserve">D4.1</t>
  </si>
  <si>
    <t xml:space="preserve">D4</t>
  </si>
  <si>
    <t xml:space="preserve">NAT &amp; CGNAT</t>
  </si>
  <si>
    <t xml:space="preserve">NAT44-ED: sessions, pools, twice-NAT, port-forward, 1:1, interface NAT, hairpinning, session helpers/ALGs</t>
  </si>
  <si>
    <t xml:space="preserve">S3</t>
  </si>
  <si>
    <t xml:space="preserve">D4.2</t>
  </si>
  <si>
    <t xml:space="preserve">NAT44-EI</t>
  </si>
  <si>
    <t xml:space="preserve">D4.3</t>
  </si>
  <si>
    <t xml:space="preserve">NAT64, NAT66, NPTv6</t>
  </si>
  <si>
    <t xml:space="preserve">D4.4</t>
  </si>
  <si>
    <t xml:space="preserve">DET44 deterministic CGNAT + CGNAT logging/IPFIX</t>
  </si>
  <si>
    <t xml:space="preserve">D4.5</t>
  </si>
  <si>
    <t xml:space="preserve">DS-Lite, MAP-E, MAP-T, LW4o6 BR, 464XLAT</t>
  </si>
  <si>
    <t xml:space="preserve">D4.6</t>
  </si>
  <si>
    <t xml:space="preserve">CNAT: policy 1:1, SNAT/DNAT policy (new in 26.06), load-balanced translation</t>
  </si>
  <si>
    <t xml:space="preserve">D4.7</t>
  </si>
  <si>
    <t xml:space="preserve">Session browser at 1M+ scale with server-side filter and kill-session</t>
  </si>
  <si>
    <t xml:space="preserve">D5.1</t>
  </si>
  <si>
    <t xml:space="preserve">D5</t>
  </si>
  <si>
    <t xml:space="preserve">Firewall &amp; ACL</t>
  </si>
  <si>
    <t xml:space="preserve">Object model: addresses, groups, FQDN, services, schedules, zones, tags</t>
  </si>
  <si>
    <t xml:space="preserve">D5.2</t>
  </si>
  <si>
    <t xml:space="preserve">ACL plugin: L2 MACIP, L3/L4 stateless and stateful, per-interface in/out, hit counters</t>
  </si>
  <si>
    <t xml:space="preserve">D5.3</t>
  </si>
  <si>
    <t xml:space="preserve">Host/local-in ACL for management-plane protection + nftables host firewall</t>
  </si>
  <si>
    <t xml:space="preserve">D5.4</t>
  </si>
  <si>
    <t xml:space="preserve">Rule editor UI for 100,000 rules (virtualised, CSV bulk, reorder, search)</t>
  </si>
  <si>
    <t xml:space="preserve">D5.5</t>
  </si>
  <si>
    <t xml:space="preserve">ADL / Auto-SDL integration</t>
  </si>
  <si>
    <t xml:space="preserve">Largely covered by ACLs</t>
  </si>
  <si>
    <t xml:space="preserve">D5.6</t>
  </si>
  <si>
    <t xml:space="preserve">Stateful policy state synchronisation for HA (TNSR VPF state sync equivalent)</t>
  </si>
  <si>
    <t xml:space="preserve">D9.2</t>
  </si>
  <si>
    <t xml:space="preserve">D6.1</t>
  </si>
  <si>
    <t xml:space="preserve">D6</t>
  </si>
  <si>
    <t xml:space="preserve">VPN &amp; Tunnels</t>
  </si>
  <si>
    <t xml:space="preserve">IPsec core: SA/SPD, tunnel and transport mode, ESP/AH, async crypto, native/ipsecmb/openssl engines, QAT offload</t>
  </si>
  <si>
    <t xml:space="preserve">D6.2</t>
  </si>
  <si>
    <t xml:space="preserve">strongSwan + kernel-vpp/socket-vpp, swanctl.conf renderer, IKEv1/IKEv2, full cipher and DH 1-24/31 matrix, NAT-T, DPD, MOBIKE</t>
  </si>
  <si>
    <t xml:space="preserve">D6.3</t>
  </si>
  <si>
    <t xml:space="preserve">Native VPP IKEv2 plugin path + 26.06 crypto enhancements</t>
  </si>
  <si>
    <t xml:space="preserve">Alternative to strongSwan for responder-only cases</t>
  </si>
  <si>
    <t xml:space="preserve">D6.4</t>
  </si>
  <si>
    <t xml:space="preserve">PKI: CA, CSR, import/export, CRL/OCSP, ACME, expiry alerts, PKCS#11/HSM</t>
  </si>
  <si>
    <t xml:space="preserve">D6.5</t>
  </si>
  <si>
    <t xml:space="preserve">WireGuard</t>
  </si>
  <si>
    <t xml:space="preserve">D6.6</t>
  </si>
  <si>
    <t xml:space="preserve">Tunnels: GRE (L2/L3), IPIP, VXLAN, VXLAN-GPE, GTP-U, L2TPv3, PPPoE, Tunnel Infra, Packet Vector Tunnel</t>
  </si>
  <si>
    <t xml:space="preserve">GTP-U/L2TPv3/PPPoE are T3-value; schedule last</t>
  </si>
  <si>
    <t xml:space="preserve">D6.7</t>
  </si>
  <si>
    <t xml:space="preserve">SRv6: core, network programming, service chaining proxies, SRv6-mobile GTP functions</t>
  </si>
  <si>
    <t xml:space="preserve">Only large mobile operators need this</t>
  </si>
  <si>
    <t xml:space="preserve">D6.8</t>
  </si>
  <si>
    <t xml:space="preserve">LISP and LISP-GPE</t>
  </si>
  <si>
    <t xml:space="preserve">Effectively dead technology</t>
  </si>
  <si>
    <t xml:space="preserve">D6.9</t>
  </si>
  <si>
    <t xml:space="preserve">Remote-access VPN: IKEv2 + EAP + client pools (optional OpenVPN/SSL-VPN)</t>
  </si>
  <si>
    <t xml:space="preserve">D6.10</t>
  </si>
  <si>
    <t xml:space="preserve">Tunnel dashboards, SA/SPI inspection, rekey history, per-tunnel telemetry</t>
  </si>
  <si>
    <t xml:space="preserve">D7.1</t>
  </si>
  <si>
    <t xml:space="preserve">D7</t>
  </si>
  <si>
    <t xml:space="preserve">Services, QoS &amp; Host Stack</t>
  </si>
  <si>
    <t xml:space="preserve">Kea DHCPv4/v6 server, reservations, option sets, lease DB and UI</t>
  </si>
  <si>
    <t xml:space="preserve">D7.2</t>
  </si>
  <si>
    <t xml:space="preserve">DHCP relay/proxy (VPP plugin) + DHCP client</t>
  </si>
  <si>
    <t xml:space="preserve">D7.3</t>
  </si>
  <si>
    <t xml:space="preserve">DNS: Unbound resolver/forwarder/DNSSEC/views + VPP caching DNS plugin</t>
  </si>
  <si>
    <t xml:space="preserve">D7.4</t>
  </si>
  <si>
    <t xml:space="preserve">NTP via chrony (client/server), optional PTP</t>
  </si>
  <si>
    <t xml:space="preserve">D7.5</t>
  </si>
  <si>
    <t xml:space="preserve">SNMP v2c/v3 via net-snmp + private MIB</t>
  </si>
  <si>
    <t xml:space="preserve">D7.6</t>
  </si>
  <si>
    <t xml:space="preserve">IPFIX/NetFlow (flowprobe) + sFlow</t>
  </si>
  <si>
    <t xml:space="preserve">D7.7</t>
  </si>
  <si>
    <t xml:space="preserve">Syslog export + log explorer</t>
  </si>
  <si>
    <t xml:space="preserve">D7.8</t>
  </si>
  <si>
    <t xml:space="preserve">QoS: policer, shaper, QoS record/map/mark, DSCP/dot1p, hierarchical HQoS, per-interface queues</t>
  </si>
  <si>
    <t xml:space="preserve">D7.9</t>
  </si>
  <si>
    <t xml:space="preserve">Load Balancer plugin (GRE/NAT/L3DSR/maglev)</t>
  </si>
  <si>
    <t xml:space="preserve">Solved outside the product by HAProxy/nginx</t>
  </si>
  <si>
    <t xml:space="preserve">D7.10</t>
  </si>
  <si>
    <t xml:space="preserve">Host Stack: session layer, TCP/UDP tuning, VCL, TLS engines, QUIC/quicly, HTTP static server, HTTP/3 CONNECT + UDP proxying, SRTP, HSI</t>
  </si>
  <si>
    <t xml:space="preserve">No router customer asks for this</t>
  </si>
  <si>
    <t xml:space="preserve">D7.11</t>
  </si>
  <si>
    <t xml:space="preserve">Packet generator (PG) + pcap tooling in UI</t>
  </si>
  <si>
    <t xml:space="preserve">D8.2</t>
  </si>
  <si>
    <t xml:space="preserve">D8.1</t>
  </si>
  <si>
    <t xml:space="preserve">D8</t>
  </si>
  <si>
    <t xml:space="preserve">Observability &amp; Ops</t>
  </si>
  <si>
    <t xml:space="preserve">Dashboard, charts, per-worker CPU, queue/buffer stats, buffers monitoring, buffer metadata tracker</t>
  </si>
  <si>
    <t xml:space="preserve">Packet capture: pcap rx/tx/drop, BPF Trace Filter, trace node, Trace Path plugin (new 26.06), G2 export</t>
  </si>
  <si>
    <t xml:space="preserve">D8.3</t>
  </si>
  <si>
    <t xml:space="preserve">Prometheus exporter (VPP prom plugin + own metrics) + Grafana dashboards</t>
  </si>
  <si>
    <t xml:space="preserve">D8.4</t>
  </si>
  <si>
    <t xml:space="preserve">Event and alarm engine, thresholds, email/webhook/SNMP traps</t>
  </si>
  <si>
    <t xml:space="preserve">D8.5</t>
  </si>
  <si>
    <t xml:space="preserve">Backup/restore, scheduled export, config templates, bulk provisioning</t>
  </si>
  <si>
    <t xml:space="preserve">D8.6</t>
  </si>
  <si>
    <t xml:space="preserve">Support bundle / sysdump</t>
  </si>
  <si>
    <t xml:space="preserve">D8.7</t>
  </si>
  <si>
    <t xml:space="preserve">Upgrade UI and staged rollout</t>
  </si>
  <si>
    <t xml:space="preserve">D8.8</t>
  </si>
  <si>
    <t xml:space="preserve">RESTCONF/NETCONF compatibility layer + YANG models</t>
  </si>
  <si>
    <t xml:space="preserve">Needed for TNSR API parity</t>
  </si>
  <si>
    <t xml:space="preserve">D8.9</t>
  </si>
  <si>
    <t xml:space="preserve">Terraform provider, Ansible collection, Python SDK</t>
  </si>
  <si>
    <t xml:space="preserve">D9.1</t>
  </si>
  <si>
    <t xml:space="preserve">D9</t>
  </si>
  <si>
    <t xml:space="preserve">High Availability</t>
  </si>
  <si>
    <t xml:space="preserve">VRRPv3 (native VPP plugin) + keepalived path</t>
  </si>
  <si>
    <t xml:space="preserve">Config synchronisation between peers, cluster membership</t>
  </si>
  <si>
    <t xml:space="preserve">D9.3</t>
  </si>
  <si>
    <t xml:space="preserve">State sync: NAT/ACL sessions and IPsec SAs</t>
  </si>
  <si>
    <t xml:space="preserve">D9.4</t>
  </si>
  <si>
    <t xml:space="preserve">Failover test automation and convergence tuning</t>
  </si>
  <si>
    <t xml:space="preserve">D9.5</t>
  </si>
  <si>
    <t xml:space="preserve">Cluster view in UI</t>
  </si>
  <si>
    <t xml:space="preserve">D10.1</t>
  </si>
  <si>
    <t xml:space="preserve">D10</t>
  </si>
  <si>
    <t xml:space="preserve">Multi-tenancy &amp; AAA</t>
  </si>
  <si>
    <t xml:space="preserve">VDOM/tenant model, per-tenant RBAC and API scoping</t>
  </si>
  <si>
    <t xml:space="preserve">Changes the data model - decide in Q1 whether it is in scope</t>
  </si>
  <si>
    <t xml:space="preserve">D10.2</t>
  </si>
  <si>
    <t xml:space="preserve">AAA: RADIUS, TACACS+, LDAP, SAML, OIDC + MFA</t>
  </si>
  <si>
    <t xml:space="preserve">D11.1</t>
  </si>
  <si>
    <t xml:space="preserve">D11</t>
  </si>
  <si>
    <t xml:space="preserve">Cloud &amp; Virtualization</t>
  </si>
  <si>
    <t xml:space="preserve">Cloud images AWS/Azure/GCP + marketplace, cloud-init, ENA/Hyper-V drivers, cloud routing integration</t>
  </si>
  <si>
    <t xml:space="preserve">D11.2</t>
  </si>
  <si>
    <t xml:space="preserve">KVM/VMware/Hyper-V/Proxmox images + SR-IOV and PCI passthrough</t>
  </si>
  <si>
    <t xml:space="preserve">D12.1</t>
  </si>
  <si>
    <t xml:space="preserve">D12</t>
  </si>
  <si>
    <t xml:space="preserve">Hardening, QA, Docs &amp; Release</t>
  </si>
  <si>
    <t xml:space="preserve">CIS hardening, secure boot, package signing, offline (air-gapped) update bundle</t>
  </si>
  <si>
    <t xml:space="preserve">D12.2</t>
  </si>
  <si>
    <t xml:space="preserve">Licensing and entitlement enforcement</t>
  </si>
  <si>
    <t xml:space="preserve">D12.3</t>
  </si>
  <si>
    <t xml:space="preserve">Independent penetration test + remediation</t>
  </si>
  <si>
    <t xml:space="preserve">D12.4</t>
  </si>
  <si>
    <t xml:space="preserve">Full user documentation (~400 pages) + CLI reference + API reference</t>
  </si>
  <si>
    <t xml:space="preserve">Writer</t>
  </si>
  <si>
    <t xml:space="preserve">Technical writer from M12</t>
  </si>
  <si>
    <t xml:space="preserve">D12.5</t>
  </si>
  <si>
    <t xml:space="preserve">QA: regression suite growth, nightly topology, perf CI, interop matrix (Cisco/Juniper/FortiGate/strongSwan/AWS VGW)</t>
  </si>
  <si>
    <t xml:space="preserve">Continuous from Q4 to GA</t>
  </si>
  <si>
    <t xml:space="preserve">D12.6</t>
  </si>
  <si>
    <t xml:space="preserve">Soak and chaos: kill -9, link flap, 72h at line rate</t>
  </si>
  <si>
    <t xml:space="preserve">D12.7</t>
  </si>
  <si>
    <t xml:space="preserve">Certification preparation (Common Criteria / local standards)</t>
  </si>
  <si>
    <t xml:space="preserve">Get the requirement list before end of Q2</t>
  </si>
  <si>
    <t xml:space="preserve">TOTAL</t>
  </si>
  <si>
    <t xml:space="preserve">Blue = input (Tier, Net PD, Start Q, End Q, Squad, Status, Owner). Loaded PD, Quarters, PD/quarter and Release are formulas.</t>
  </si>
  <si>
    <t xml:space="preserve">Quarter plan - capacity versus planned load</t>
  </si>
  <si>
    <t xml:space="preserve">Each item's effort is spread evenly across its Start Q..End Q span. Utilisation above 100% means the quarter is overcommitted.</t>
  </si>
  <si>
    <t xml:space="preserve">Q</t>
  </si>
  <si>
    <t xml:space="preserve">Label</t>
  </si>
  <si>
    <t xml:space="preserve">Months</t>
  </si>
  <si>
    <t xml:space="preserve">Ramp</t>
  </si>
  <si>
    <t xml:space="preserve">Capacity PD</t>
  </si>
  <si>
    <t xml:space="preserve">Planned net PD</t>
  </si>
  <si>
    <t xml:space="preserve">Planned loaded PD</t>
  </si>
  <si>
    <t xml:space="preserve">Utilisation</t>
  </si>
  <si>
    <t xml:space="preserve">Milestone / gate</t>
  </si>
  <si>
    <t xml:space="preserve">Q1</t>
  </si>
  <si>
    <t xml:space="preserve">M1-M3</t>
  </si>
  <si>
    <t xml:space="preserve">G1 - first vertical slice on real hardware</t>
  </si>
  <si>
    <t xml:space="preserve">Q2</t>
  </si>
  <si>
    <t xml:space="preserve">M4-M6</t>
  </si>
  <si>
    <t xml:space="preserve">G2 = R0.1 Alpha</t>
  </si>
  <si>
    <t xml:space="preserve">Q3</t>
  </si>
  <si>
    <t xml:space="preserve">M7-M9</t>
  </si>
  <si>
    <t xml:space="preserve">G3 - IPsec interop with strongSwan/FortiGate/Cisco</t>
  </si>
  <si>
    <t xml:space="preserve">Q4</t>
  </si>
  <si>
    <t xml:space="preserve">M10-M12</t>
  </si>
  <si>
    <t xml:space="preserve">G4 = R0.5 Beta (MVP), first customer PoC</t>
  </si>
  <si>
    <t xml:space="preserve">Q5</t>
  </si>
  <si>
    <t xml:space="preserve">M13-M15</t>
  </si>
  <si>
    <t xml:space="preserve">BGP + OSPFv2 + BFD + full ACL</t>
  </si>
  <si>
    <t xml:space="preserve">Q6</t>
  </si>
  <si>
    <t xml:space="preserve">M16-M18</t>
  </si>
  <si>
    <t xml:space="preserve">G5 = R1.0 GA-1</t>
  </si>
  <si>
    <t xml:space="preserve">Q7</t>
  </si>
  <si>
    <t xml:space="preserve">M19-M21</t>
  </si>
  <si>
    <t xml:space="preserve">CGNAT, QoS, PKI, WireGuard, IS-IS</t>
  </si>
  <si>
    <t xml:space="preserve">Q8</t>
  </si>
  <si>
    <t xml:space="preserve">M22-M24</t>
  </si>
  <si>
    <t xml:space="preserve">HA state sync, RESTCONF, IPFIX, AAA</t>
  </si>
  <si>
    <t xml:space="preserve">Q9</t>
  </si>
  <si>
    <t xml:space="preserve">M25-M27</t>
  </si>
  <si>
    <t xml:space="preserve">G6 = R1.5 GA-2 (full TNSR parity), MPLS/multicast start</t>
  </si>
  <si>
    <t xml:space="preserve">Q10</t>
  </si>
  <si>
    <t xml:space="preserve">M28-M30</t>
  </si>
  <si>
    <t xml:space="preserve">G7 = R2.0 GA-3 (complete VPP surface)</t>
  </si>
  <si>
    <t xml:space="preserve">Q11</t>
  </si>
  <si>
    <t xml:space="preserve">M31-M33</t>
  </si>
  <si>
    <t xml:space="preserve">Hardening, licensing, documentation</t>
  </si>
  <si>
    <t xml:space="preserve">Q12</t>
  </si>
  <si>
    <t xml:space="preserve">M34-M36</t>
  </si>
  <si>
    <t xml:space="preserve">G8 = R2.5 GA-Final</t>
  </si>
  <si>
    <t xml:space="preserve">FINDING: balancing the 102 items against quarterly capacity pushes eight Tier-2 items past Q8 - remote-access VPN, AAA, Terraform/Ansible/SDK, native IKEv2, RPF/ADL, syslog and log explorer, support bundle, and the virtualisation images.</t>
  </si>
  <si>
    <t xml:space="preserve">Full TNSR parity therefore completes at the end of Q9 = month 27, not month 24. Three options: (a) accept month 27; (b) add 2 FTE in Q7-Q8 (about USD 120k) and hold month 24; (c) cut those eight items from GA-2 into R2.0. Decide deliberately now rather than discovering it in month 23.</t>
  </si>
  <si>
    <t xml:space="preserve">The gap between total capacity and planned load is the programme's contingency reserve. Do not spend it on new scope before month 30.</t>
  </si>
  <si>
    <t xml:space="preserve">Roll-ups</t>
  </si>
  <si>
    <t xml:space="preserve">Every figure is a SUMIF over the WBS sheet. Nothing here is hardcoded.</t>
  </si>
  <si>
    <t xml:space="preserve">Share of net</t>
  </si>
  <si>
    <t xml:space="preserve">Meaning</t>
  </si>
  <si>
    <t xml:space="preserve">Share</t>
  </si>
  <si>
    <t xml:space="preserve">Duration at plan FTE (months)</t>
  </si>
  <si>
    <t xml:space="preserve">Needed to sell</t>
  </si>
  <si>
    <t xml:space="preserve">Needed for TNSR parity</t>
  </si>
  <si>
    <t xml:space="preserve">Complete VPP coverage, low value</t>
  </si>
  <si>
    <t xml:space="preserve">Squad name</t>
  </si>
  <si>
    <t xml:space="preserve">Dataplane &amp; Agent</t>
  </si>
  <si>
    <t xml:space="preserve">Routing &amp; L3</t>
  </si>
  <si>
    <t xml:space="preserve">Security &amp; VPN</t>
  </si>
  <si>
    <t xml:space="preserve">Control Plane</t>
  </si>
  <si>
    <t xml:space="preserve">Frontend</t>
  </si>
  <si>
    <t xml:space="preserve">Platform &amp; Release</t>
  </si>
  <si>
    <t xml:space="preserve">QA / Lab</t>
  </si>
  <si>
    <t xml:space="preserve">Technical writer</t>
  </si>
  <si>
    <t xml:space="preserve">CAUTION: the Squad column names the OWNING squad only. Every item's PD includes the API, UI, test and doc work the nine DoD conditions require, so these totals are not staffing loads - do not size a squad from them.</t>
  </si>
  <si>
    <t xml:space="preserve">For real staffing, split each item's PD across squads in a separate effort-allocation model, or add per-squad PD columns to the WBS sheet.</t>
  </si>
  <si>
    <t xml:space="preserve">Release train and gate acceptance criteria</t>
  </si>
  <si>
    <t xml:space="preserve">Net PD per release is derived from each WBS item's End Q. 'Lookup key' drives the Release formula on the WBS sheet - do not reorder or delete these rows.</t>
  </si>
  <si>
    <t xml:space="preserve">Target month</t>
  </si>
  <si>
    <t xml:space="preserve">Gate</t>
  </si>
  <si>
    <t xml:space="preserve">Through Q</t>
  </si>
  <si>
    <t xml:space="preserve">Lookup key</t>
  </si>
  <si>
    <t xml:space="preserve">Scope added</t>
  </si>
  <si>
    <t xml:space="preserve">Measurable acceptance criteria</t>
  </si>
  <si>
    <t xml:space="preserve">R0.1 Alpha</t>
  </si>
  <si>
    <t xml:space="preserve">G2</t>
  </si>
  <si>
    <t xml:space="preserve">Foundation, interfaces/L2, live telemetry</t>
  </si>
  <si>
    <t xml:space="preserve">10 Mpps/core IPv4 @64B; kill -9 vpp rebuilds config &lt;30s; UI counters == vppctl</t>
  </si>
  <si>
    <t xml:space="preserve">R0.5 Beta (MVP)</t>
  </si>
  <si>
    <t xml:space="preserve">G4</t>
  </si>
  <si>
    <t xml:space="preserve">L3/static/VRF, basic NAT44, IPsec S2S, DHCP/DNS/NTP</t>
  </si>
  <si>
    <t xml:space="preserve">Customer PoC passed; 100k NAT sessions; commit/rollback with no outage</t>
  </si>
  <si>
    <t xml:space="preserve">R1.0 GA-1</t>
  </si>
  <si>
    <t xml:space="preserve">G5</t>
  </si>
  <si>
    <t xml:space="preserve">BGP/OSPF/BFD, full ACL and NAT, VRRP, SNMP, backup and upgrade</t>
  </si>
  <si>
    <t xml:space="preserve">1M-route BGP converges &lt;90s; BFD failover &lt;300ms; 100k ACL rules &lt;2% pps loss; IPsec &gt;=20 Gbps</t>
  </si>
  <si>
    <t xml:space="preserve">R1.5 GA-2</t>
  </si>
  <si>
    <t xml:space="preserve">G6</t>
  </si>
  <si>
    <t xml:space="preserve">IS-IS/OSPFv3/RIP, CGNAT/MAP, WireGuard, PKI, QoS, IPFIX/sFlow, RESTCONF, HA state sync, AAA</t>
  </si>
  <si>
    <t xml:space="preserve">100% TNSR feature matrix signed off; VRRP failover &lt;1s with sessions preserved; &gt;=100 Gbps on 16 workers</t>
  </si>
  <si>
    <t xml:space="preserve">R2.0 GA-3</t>
  </si>
  <si>
    <t xml:space="preserve">G7</t>
  </si>
  <si>
    <t xml:space="preserve">MPLS/SR-MPLS, multicast/BIER, SRv6, LISP, host stack/QUIC/HTTP3, load balancer, multi-tenancy, cloud</t>
  </si>
  <si>
    <t xml:space="preserve">Every VPP 26.06 plugin exposed or recorded in a justified out-of-scope list</t>
  </si>
  <si>
    <t xml:space="preserve">R2.5 GA-Final</t>
  </si>
  <si>
    <t xml:space="preserve">G8</t>
  </si>
  <si>
    <t xml:space="preserve">Hardening, secure boot, licensing, offline updates, pen test, 72h soak, full docs, certification</t>
  </si>
  <si>
    <t xml:space="preserve">Zero crashes/leaks over 72h at line rate; clean pen test; signed offline bundle; complete SBOM</t>
  </si>
  <si>
    <t xml:space="preserve">G1 (month 3) is an internal gate with no release: unattended bare-metal install under 15 minutes, login, NIC inventory, survives reboot.</t>
  </si>
  <si>
    <t xml:space="preserve">G3 (month 9): IPsec tunnel up against strongSwan, FortiGate and Cisco peers; three-router static topology forwards traffic.</t>
  </si>
  <si>
    <t xml:space="preserve">Sprint plan - first six months</t>
  </si>
  <si>
    <t xml:space="preserve">Dates derive from the project start date and sprint length on the Assumptions sheet. Beyond sprint 12, plan one quarter ahead - sprint detail further out is fiction.</t>
  </si>
  <si>
    <t xml:space="preserve">Sprint</t>
  </si>
  <si>
    <t xml:space="preserve">Start</t>
  </si>
  <si>
    <t xml:space="preserve">End</t>
  </si>
  <si>
    <t xml:space="preserve">Deliverable (must be demonstrable)</t>
  </si>
  <si>
    <t xml:space="preserve">S01</t>
  </si>
  <si>
    <t xml:space="preserve">Monorepo + green CI + automated QEMU box: Ubuntu 24.04, VPP 26.06, two virtio interfaces bound to VPP</t>
  </si>
  <si>
    <t xml:space="preserve">S02</t>
  </si>
  <si>
    <t xml:space="preserve">ngfw-agent connects via govpp, Retrieve() dumps interfaces, one gRPC RPC over a unix socket</t>
  </si>
  <si>
    <t xml:space="preserve">S03</t>
  </si>
  <si>
    <t xml:space="preserve">ngfw-api: GET /api/v1/state/interfaces; schema package with Zod; codegen chain (OpenAPI + client)</t>
  </si>
  <si>
    <t xml:space="preserve">S04</t>
  </si>
  <si>
    <t xml:space="preserve">React interface list with live counters over WebSocket -&gt; FULL VERTICAL SLICE PROVEN</t>
  </si>
  <si>
    <t xml:space="preserve">S05</t>
  </si>
  <si>
    <t xml:space="preserve">Reconciler core: Descriptor + dependency graph + diff/plan/apply; candidate/running datastore; first atomic commit on MTU</t>
  </si>
  <si>
    <t xml:space="preserve">S06</t>
  </si>
  <si>
    <t xml:space="preserve">.deb build + signed APT repo; install on bare metal</t>
  </si>
  <si>
    <t xml:space="preserve">G1</t>
  </si>
  <si>
    <t xml:space="preserve">S07</t>
  </si>
  <si>
    <t xml:space="preserve">DPDK driver binding from the UI; NIC inventory; startup.conf generator (hugepages/workers/RSS)</t>
  </si>
  <si>
    <t xml:space="preserve">S08</t>
  </si>
  <si>
    <t xml:space="preserve">v4/v6 addressing, MTU, MAC, rx-queue placement; confirmed-commit with auto-revert timer</t>
  </si>
  <si>
    <t xml:space="preserve">S09</t>
  </si>
  <si>
    <t xml:space="preserve">802.1q and QinQ sub-interfaces; pending-change bar + diff viewer in the UI</t>
  </si>
  <si>
    <t xml:space="preserve">S10</t>
  </si>
  <si>
    <t xml:space="preserve">Bonding/LACP; bridge domains and L2XC; RBAC + audit + API keys</t>
  </si>
  <si>
    <t xml:space="preserve">S11</t>
  </si>
  <si>
    <t xml:space="preserve">GSO/checksum offload/jumbo; loopback/BVI; LLDP; autoinstall ISO</t>
  </si>
  <si>
    <t xml:space="preserve">S12</t>
  </si>
  <si>
    <t xml:space="preserve">kill -9 vpp in nightly CI; TRex baseline</t>
  </si>
  <si>
    <t xml:space="preserve">Sprint 4 is the checkpoint that matters: a full vertical slice (VPP -&gt; Go agent -&gt; gRPC -&gt; Node API -&gt; React with live counters) proves the whole architecture in six weeks. If it slips, re-plan before writing more features.</t>
  </si>
  <si>
    <t xml:space="preserve">Team structure and hiring plan</t>
  </si>
  <si>
    <t xml:space="preserve">The capacity math on the Assumptions sheet uses delivery FTE, not raw headcount.</t>
  </si>
  <si>
    <t xml:space="preserve">Name</t>
  </si>
  <si>
    <t xml:space="preserve">Headcount</t>
  </si>
  <si>
    <t xml:space="preserve">Hire by</t>
  </si>
  <si>
    <t xml:space="preserve">Responsibility</t>
  </si>
  <si>
    <t xml:space="preserve">Key skills</t>
  </si>
  <si>
    <t xml:space="preserve">M1</t>
  </si>
  <si>
    <t xml:space="preserve">VPP plugins, govpp, reconciler, renderers, stats</t>
  </si>
  <si>
    <t xml:space="preserve">C, Go, DPDK, VPP internals</t>
  </si>
  <si>
    <t xml:space="preserve">linux-cp, FRR, BGP/OSPF/IS-IS, MPLS, multicast, FIB</t>
  </si>
  <si>
    <t xml:space="preserve">Go, network engineering (CCIE/JNCIE)</t>
  </si>
  <si>
    <t xml:space="preserve">M6</t>
  </si>
  <si>
    <t xml:space="preserve">IPsec, strongSwan, PKI, WireGuard, NAT, ACL</t>
  </si>
  <si>
    <t xml:space="preserve">Go, cryptography, IKE</t>
  </si>
  <si>
    <t xml:space="preserve">NestJS, commit engine, RBAC, telemetry, RESTCONF, SDKs</t>
  </si>
  <si>
    <t xml:space="preserve">Node.js, TypeScript</t>
  </si>
  <si>
    <t xml:space="preserve">React/MUI, SchemaForm, dashboards, i18n/RTL</t>
  </si>
  <si>
    <t xml:space="preserve">React, TypeScript, UX</t>
  </si>
  <si>
    <t xml:space="preserve">VPP build, packaging, images, APT, upgrade, CI</t>
  </si>
  <si>
    <t xml:space="preserve">DevOps, Debian packaging</t>
  </si>
  <si>
    <t xml:space="preserve">M3</t>
  </si>
  <si>
    <t xml:space="preserve">Robot Framework, TRex, interop, nightly, perf CI</t>
  </si>
  <si>
    <t xml:space="preserve">Network test automation</t>
  </si>
  <si>
    <t xml:space="preserve">Arch</t>
  </si>
  <si>
    <t xml:space="preserve">Architect / TPM</t>
  </si>
  <si>
    <t xml:space="preserve">M0</t>
  </si>
  <si>
    <t xml:space="preserve">Architecture, review, planning (50% delivery)</t>
  </si>
  <si>
    <t xml:space="preserve">-</t>
  </si>
  <si>
    <t xml:space="preserve">M12</t>
  </si>
  <si>
    <t xml:space="preserve">User docs, CLI/API reference</t>
  </si>
  <si>
    <t xml:space="preserve">TOTAL HEADCOUNT</t>
  </si>
  <si>
    <t xml:space="preserve">The binding constraint is one senior VPP/DPDK engineer. Start recruiting before month 0 - that hire, not this plan, decides the schedule.</t>
  </si>
  <si>
    <t xml:space="preserve">Hiring order: M0 architect + senior VPP engineer | M1 2xGo, 2xNode, 1xReact, 1xDevOps | M3 1xReact, 1xQA | M6 1xGo, 1x senior network engineer, 1xQA/perf | M12 technical writer.</t>
  </si>
  <si>
    <t xml:space="preserve">Lab capital expenditure</t>
  </si>
  <si>
    <t xml:space="preserve">A performance claim without a traffic generator is marketing fiction. The month-4 purchase is not optional.</t>
  </si>
  <si>
    <t xml:space="preserve">Month</t>
  </si>
  <si>
    <t xml:space="preserve">Items</t>
  </si>
  <si>
    <t xml:space="preserve">Cost (USD)</t>
  </si>
  <si>
    <t xml:space="preserve">Cumulative (USD)</t>
  </si>
  <si>
    <t xml:space="preserve">2 lab servers (single socket, AES-NI, AVX2) + Intel XXV710 25G NICs + 25G switch</t>
  </si>
  <si>
    <t xml:space="preserve">M4</t>
  </si>
  <si>
    <t xml:space="preserve">TRex traffic generator box + Intel E810 100G NICs - no performance claim is defensible without it</t>
  </si>
  <si>
    <t xml:space="preserve">M10</t>
  </si>
  <si>
    <t xml:space="preserve">HA pair + second switch + ConnectX-6 for the rdma driver path</t>
  </si>
  <si>
    <t xml:space="preserve">M18</t>
  </si>
  <si>
    <t xml:space="preserve">100G switch + optics + Intel QAT card for crypto offload</t>
  </si>
  <si>
    <t xml:space="preserve">M24</t>
  </si>
  <si>
    <t xml:space="preserve">Interop gear: used Cisco/Juniper router, FortiGate unit</t>
  </si>
  <si>
    <t xml:space="preserve">Order-of-magnitude estimates for used and current-generation COTS hardware as at September 2026. Obtain live quotes before budgeting.</t>
  </si>
  <si>
    <t xml:space="preserve">Scope and staffing scenarios</t>
  </si>
  <si>
    <t xml:space="preserve">Delivery months = loaded PD / (FTE x PD-per-year / 12). Total months adds the ramp-up and stabilisation allowance from the Assumptions sheet - calendar time that does not compress by adding people.</t>
  </si>
  <si>
    <t xml:space="preserve">Scenario</t>
  </si>
  <si>
    <t xml:space="preserve">Scope</t>
  </si>
  <si>
    <t xml:space="preserve">Delivery months</t>
  </si>
  <si>
    <t xml:space="preserve">Total months</t>
  </si>
  <si>
    <t xml:space="preserve">Risk assessment</t>
  </si>
  <si>
    <t xml:space="preserve">A Aggressive</t>
  </si>
  <si>
    <t xml:space="preserve">All (T1+T2+T3)</t>
  </si>
  <si>
    <t xml:space="preserve">Critical path does not parallelize; coordination overhead rises about 15%; hiring 22 VPP-capable engineers is unrealistic in most markets.</t>
  </si>
  <si>
    <t xml:space="preserve">B Recommended</t>
  </si>
  <si>
    <t xml:space="preserve">Balanced. This is the plan in this workbook.</t>
  </si>
  <si>
    <t xml:space="preserve">C Lean</t>
  </si>
  <si>
    <t xml:space="preserve">Falls behind the VPP release cadence and market timing; the VPP rebase cost recurs every four months.</t>
  </si>
  <si>
    <t xml:space="preserve">D Smart</t>
  </si>
  <si>
    <t xml:space="preserve">Tier 1 only</t>
  </si>
  <si>
    <t xml:space="preserve">LOWEST RISK, BEST RETURN. A sellable product with every critical capability; revenue funds T2 and T3.</t>
  </si>
  <si>
    <t xml:space="preserve">E TNSR parity</t>
  </si>
  <si>
    <t xml:space="preserve">Tier 1 + Tier 2</t>
  </si>
  <si>
    <t xml:space="preserve">Balanced; drops only the 8% of scope that no router customer requests.</t>
  </si>
  <si>
    <t xml:space="preserve">Scenario A's figure assumes perfect parallelism, which the critical path (reconciler core -&gt; linux-cp -&gt; BGP) forbids. Treat it as a floor, not a plan.</t>
  </si>
  <si>
    <t xml:space="preserve">Scenario B computes to 34 months while the plan on the Quarter Plan sheet runs 12 quarters = 36 months. The two extra months are deliberate planning slack; do not remove them to make a date.</t>
  </si>
</sst>
</file>

<file path=xl/styles.xml><?xml version="1.0" encoding="utf-8"?>
<styleSheet xmlns="http://schemas.openxmlformats.org/spreadsheetml/2006/main">
  <numFmts count="8">
    <numFmt numFmtId="164" formatCode="General"/>
    <numFmt numFmtId="165" formatCode="#,##0"/>
    <numFmt numFmtId="166" formatCode="0.00"/>
    <numFmt numFmtId="167" formatCode="yyyy\-mm\-dd"/>
    <numFmt numFmtId="168" formatCode="0.0%"/>
    <numFmt numFmtId="169" formatCode="#,##0.0"/>
    <numFmt numFmtId="170" formatCode="General"/>
    <numFmt numFmtId="171"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008000"/>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DDEBF7"/>
      </patternFill>
    </fill>
    <fill>
      <patternFill patternType="solid">
        <fgColor rgb="FFDDEB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8" fontId="6" fillId="5"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6" fillId="5"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52"/>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5" t="s">
        <v>13</v>
      </c>
      <c r="B10" s="4" t="s">
        <v>14</v>
      </c>
    </row>
    <row r="11" customFormat="false" ht="15" hidden="false" customHeight="false" outlineLevel="0" collapsed="false">
      <c r="A11" s="5" t="s">
        <v>15</v>
      </c>
      <c r="B11" s="4" t="s">
        <v>16</v>
      </c>
    </row>
    <row r="12" customFormat="false" ht="15" hidden="false" customHeight="false" outlineLevel="0" collapsed="false">
      <c r="A12" s="5" t="s">
        <v>17</v>
      </c>
      <c r="B12" s="4" t="s">
        <v>18</v>
      </c>
    </row>
    <row r="13" customFormat="false" ht="15" hidden="false" customHeight="false" outlineLevel="0" collapsed="false">
      <c r="A13" s="5" t="s">
        <v>19</v>
      </c>
      <c r="B13" s="4" t="s">
        <v>20</v>
      </c>
    </row>
    <row r="14" customFormat="false" ht="15" hidden="false" customHeight="false" outlineLevel="0" collapsed="false">
      <c r="A14" s="5"/>
      <c r="B14" s="4"/>
    </row>
    <row r="15" customFormat="false" ht="15" hidden="false" customHeight="false" outlineLevel="0" collapsed="false">
      <c r="A15" s="3" t="s">
        <v>21</v>
      </c>
      <c r="B15" s="4"/>
    </row>
    <row r="16" customFormat="false" ht="15" hidden="false" customHeight="false" outlineLevel="0" collapsed="false">
      <c r="A16" s="5" t="s">
        <v>22</v>
      </c>
      <c r="B16" s="4" t="s">
        <v>23</v>
      </c>
    </row>
    <row r="17" customFormat="false" ht="15" hidden="false" customHeight="false" outlineLevel="0" collapsed="false">
      <c r="A17" s="5" t="s">
        <v>24</v>
      </c>
      <c r="B17" s="4" t="s">
        <v>25</v>
      </c>
    </row>
    <row r="18" customFormat="false" ht="15" hidden="false" customHeight="false" outlineLevel="0" collapsed="false">
      <c r="A18" s="5" t="s">
        <v>26</v>
      </c>
      <c r="B18" s="4" t="s">
        <v>27</v>
      </c>
    </row>
    <row r="19" customFormat="false" ht="15" hidden="false" customHeight="false" outlineLevel="0" collapsed="false">
      <c r="A19" s="5" t="s">
        <v>28</v>
      </c>
      <c r="B19" s="4" t="s">
        <v>29</v>
      </c>
    </row>
    <row r="20" customFormat="false" ht="15" hidden="false" customHeight="false" outlineLevel="0" collapsed="false">
      <c r="A20" s="5"/>
      <c r="B20" s="4"/>
    </row>
    <row r="21" customFormat="false" ht="15" hidden="false" customHeight="false" outlineLevel="0" collapsed="false">
      <c r="A21" s="3" t="s">
        <v>30</v>
      </c>
      <c r="B21" s="4"/>
    </row>
    <row r="22" customFormat="false" ht="15" hidden="false" customHeight="false" outlineLevel="0" collapsed="false">
      <c r="A22" s="5" t="s">
        <v>31</v>
      </c>
      <c r="B22" s="4" t="s">
        <v>32</v>
      </c>
    </row>
    <row r="23" customFormat="false" ht="35.05" hidden="false" customHeight="false" outlineLevel="0" collapsed="false">
      <c r="A23" s="5" t="s">
        <v>33</v>
      </c>
      <c r="B23" s="4" t="s">
        <v>34</v>
      </c>
    </row>
    <row r="24" customFormat="false" ht="15" hidden="false" customHeight="false" outlineLevel="0" collapsed="false">
      <c r="A24" s="5" t="s">
        <v>35</v>
      </c>
      <c r="B24" s="4" t="s">
        <v>36</v>
      </c>
    </row>
    <row r="25" customFormat="false" ht="23.85" hidden="false" customHeight="false" outlineLevel="0" collapsed="false">
      <c r="A25" s="5" t="s">
        <v>37</v>
      </c>
      <c r="B25" s="4" t="s">
        <v>38</v>
      </c>
    </row>
    <row r="26" customFormat="false" ht="15" hidden="false" customHeight="false" outlineLevel="0" collapsed="false">
      <c r="A26" s="5"/>
      <c r="B26" s="4"/>
    </row>
    <row r="27" customFormat="false" ht="15" hidden="false" customHeight="false" outlineLevel="0" collapsed="false">
      <c r="A27" s="3" t="s">
        <v>39</v>
      </c>
      <c r="B27" s="4"/>
    </row>
    <row r="28" customFormat="false" ht="15" hidden="false" customHeight="false" outlineLevel="0" collapsed="false">
      <c r="A28" s="5" t="s">
        <v>40</v>
      </c>
      <c r="B28"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80"/>
  </cols>
  <sheetData>
    <row r="1" customFormat="false" ht="17.35" hidden="false" customHeight="false" outlineLevel="0" collapsed="false">
      <c r="A1" s="1" t="s">
        <v>42</v>
      </c>
    </row>
    <row r="2" customFormat="false" ht="15" hidden="false" customHeight="false" outlineLevel="0" collapsed="false">
      <c r="A2" s="2" t="s">
        <v>43</v>
      </c>
    </row>
    <row r="4" customFormat="false" ht="30" hidden="false" customHeight="true" outlineLevel="0" collapsed="false">
      <c r="A4" s="6" t="s">
        <v>44</v>
      </c>
      <c r="B4" s="6" t="s">
        <v>45</v>
      </c>
      <c r="C4" s="6" t="s">
        <v>46</v>
      </c>
    </row>
    <row r="5" customFormat="false" ht="15" hidden="false" customHeight="false" outlineLevel="0" collapsed="false">
      <c r="A5" s="7" t="s">
        <v>47</v>
      </c>
      <c r="B5" s="8" t="n">
        <v>14</v>
      </c>
      <c r="C5" s="4" t="s">
        <v>48</v>
      </c>
    </row>
    <row r="6" customFormat="false" ht="15" hidden="false" customHeight="false" outlineLevel="0" collapsed="false">
      <c r="A6" s="7" t="s">
        <v>49</v>
      </c>
      <c r="B6" s="8" t="n">
        <v>190</v>
      </c>
      <c r="C6" s="4" t="s">
        <v>50</v>
      </c>
    </row>
    <row r="7" customFormat="false" ht="15" hidden="false" customHeight="false" outlineLevel="0" collapsed="false">
      <c r="A7" s="7" t="s">
        <v>51</v>
      </c>
      <c r="B7" s="9" t="n">
        <v>1.25</v>
      </c>
      <c r="C7" s="4" t="s">
        <v>52</v>
      </c>
    </row>
    <row r="8" customFormat="false" ht="15" hidden="false" customHeight="false" outlineLevel="0" collapsed="false">
      <c r="A8" s="7" t="s">
        <v>53</v>
      </c>
      <c r="B8" s="8" t="n">
        <v>12</v>
      </c>
      <c r="C8" s="4" t="s">
        <v>54</v>
      </c>
    </row>
    <row r="9" customFormat="false" ht="15" hidden="false" customHeight="false" outlineLevel="0" collapsed="false">
      <c r="A9" s="7" t="s">
        <v>55</v>
      </c>
      <c r="B9" s="9" t="n">
        <v>0.5</v>
      </c>
      <c r="C9" s="4" t="s">
        <v>56</v>
      </c>
    </row>
    <row r="10" customFormat="false" ht="15" hidden="false" customHeight="false" outlineLevel="0" collapsed="false">
      <c r="A10" s="7" t="s">
        <v>57</v>
      </c>
      <c r="B10" s="10" t="n">
        <v>46296</v>
      </c>
      <c r="C10" s="4" t="s">
        <v>58</v>
      </c>
    </row>
    <row r="11" customFormat="false" ht="15" hidden="false" customHeight="false" outlineLevel="0" collapsed="false">
      <c r="A11" s="7" t="s">
        <v>59</v>
      </c>
      <c r="B11" s="8" t="n">
        <v>2</v>
      </c>
      <c r="C11" s="4" t="s">
        <v>60</v>
      </c>
    </row>
    <row r="12" customFormat="false" ht="23.85" hidden="false" customHeight="false" outlineLevel="0" collapsed="false">
      <c r="A12" s="7" t="s">
        <v>61</v>
      </c>
      <c r="B12" s="8" t="n">
        <v>5</v>
      </c>
      <c r="C12" s="4" t="s">
        <v>62</v>
      </c>
    </row>
    <row r="13" customFormat="false" ht="17.35" hidden="false" customHeight="false" outlineLevel="0" collapsed="false">
      <c r="A13" s="1" t="s">
        <v>63</v>
      </c>
    </row>
    <row r="14" customFormat="false" ht="15" hidden="false" customHeight="false" outlineLevel="0" collapsed="false">
      <c r="A14" s="7" t="s">
        <v>64</v>
      </c>
      <c r="B14" s="11" t="n">
        <f aca="false">B5*B6/4</f>
        <v>665</v>
      </c>
      <c r="C14" s="4" t="s">
        <v>65</v>
      </c>
    </row>
    <row r="15" customFormat="false" ht="15" hidden="false" customHeight="false" outlineLevel="0" collapsed="false">
      <c r="A15" s="7" t="s">
        <v>66</v>
      </c>
      <c r="B15" s="11" t="n">
        <f aca="false">B14*(B8-1+B9)</f>
        <v>7647.5</v>
      </c>
      <c r="C15" s="4" t="s">
        <v>67</v>
      </c>
    </row>
    <row r="16" customFormat="false" ht="15" hidden="false" customHeight="false" outlineLevel="0" collapsed="false">
      <c r="A16" s="7" t="s">
        <v>68</v>
      </c>
      <c r="B16" s="11" t="n">
        <f aca="false">WBS!F105</f>
        <v>5185</v>
      </c>
      <c r="C16" s="4" t="s">
        <v>69</v>
      </c>
    </row>
    <row r="17" customFormat="false" ht="15" hidden="false" customHeight="false" outlineLevel="0" collapsed="false">
      <c r="A17" s="7" t="s">
        <v>70</v>
      </c>
      <c r="B17" s="11" t="n">
        <f aca="false">B16*B7</f>
        <v>6481.25</v>
      </c>
      <c r="C17" s="4" t="s">
        <v>71</v>
      </c>
    </row>
    <row r="18" customFormat="false" ht="15" hidden="false" customHeight="false" outlineLevel="0" collapsed="false">
      <c r="A18" s="7" t="s">
        <v>72</v>
      </c>
      <c r="B18" s="12" t="n">
        <f aca="false">IFERROR(B17/B15,0)</f>
        <v>0.847499182739457</v>
      </c>
      <c r="C18" s="4" t="s">
        <v>73</v>
      </c>
    </row>
    <row r="19" customFormat="false" ht="15" hidden="false" customHeight="false" outlineLevel="0" collapsed="false">
      <c r="A19" s="7" t="s">
        <v>74</v>
      </c>
      <c r="B19" s="12" t="n">
        <f aca="false">1-B18</f>
        <v>0.152500817260543</v>
      </c>
      <c r="C19" s="4" t="s">
        <v>75</v>
      </c>
    </row>
    <row r="20" customFormat="false" ht="15" hidden="false" customHeight="false" outlineLevel="0" collapsed="false">
      <c r="A20" s="7" t="s">
        <v>76</v>
      </c>
      <c r="B20" s="13" t="n">
        <f aca="false">IFERROR(B17/(B5*B6/12),0)</f>
        <v>29.2387218045113</v>
      </c>
      <c r="C20" s="4" t="s">
        <v>77</v>
      </c>
    </row>
    <row r="22" customFormat="false" ht="15" hidden="false" customHeight="false" outlineLevel="0" collapsed="false">
      <c r="A22" s="2"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2" min="1" style="0" width="8"/>
    <col collapsed="false" customWidth="true" hidden="false" outlineLevel="0" max="3" min="3" style="0" width="24"/>
    <col collapsed="false" customWidth="true" hidden="false" outlineLevel="0" max="4" min="4" style="0" width="64"/>
    <col collapsed="false" customWidth="true" hidden="false" outlineLevel="0" max="5" min="5" style="0" width="6"/>
    <col collapsed="false" customWidth="true" hidden="false" outlineLevel="0" max="6" min="6" style="0" width="9"/>
    <col collapsed="false" customWidth="true" hidden="false" outlineLevel="0" max="7" min="7" style="0" width="10"/>
    <col collapsed="false" customWidth="true" hidden="false" outlineLevel="0" max="9" min="8" style="0" width="8"/>
    <col collapsed="false" customWidth="true" hidden="false" outlineLevel="0" max="10" min="10" style="0" width="9"/>
    <col collapsed="false" customWidth="true" hidden="false" outlineLevel="0" max="11" min="11" style="0" width="11"/>
    <col collapsed="false" customWidth="true" hidden="false" outlineLevel="0" max="12" min="12" style="0" width="8"/>
    <col collapsed="false" customWidth="true" hidden="false" outlineLevel="0" max="13" min="13" style="0" width="15"/>
    <col collapsed="false" customWidth="true" hidden="false" outlineLevel="0" max="14" min="14" style="0" width="12"/>
    <col collapsed="false" customWidth="true" hidden="false" outlineLevel="0" max="15" min="15" style="0" width="13"/>
    <col collapsed="false" customWidth="true" hidden="false" outlineLevel="0" max="16" min="16" style="0" width="12"/>
    <col collapsed="false" customWidth="true" hidden="false" outlineLevel="0" max="17" min="17" style="0" width="50"/>
  </cols>
  <sheetData>
    <row r="1" customFormat="false" ht="30" hidden="false" customHeight="true" outlineLevel="0" collapsed="false">
      <c r="A1" s="6" t="s">
        <v>79</v>
      </c>
      <c r="B1" s="6" t="s">
        <v>80</v>
      </c>
      <c r="C1" s="6" t="s">
        <v>81</v>
      </c>
      <c r="D1" s="6" t="s">
        <v>82</v>
      </c>
      <c r="E1" s="6" t="s">
        <v>83</v>
      </c>
      <c r="F1" s="6" t="s">
        <v>84</v>
      </c>
      <c r="G1" s="6" t="s">
        <v>85</v>
      </c>
      <c r="H1" s="6" t="s">
        <v>86</v>
      </c>
      <c r="I1" s="6" t="s">
        <v>87</v>
      </c>
      <c r="J1" s="6" t="s">
        <v>88</v>
      </c>
      <c r="K1" s="6" t="s">
        <v>89</v>
      </c>
      <c r="L1" s="6" t="s">
        <v>90</v>
      </c>
      <c r="M1" s="6" t="s">
        <v>91</v>
      </c>
      <c r="N1" s="6" t="s">
        <v>92</v>
      </c>
      <c r="O1" s="6" t="s">
        <v>93</v>
      </c>
      <c r="P1" s="6" t="s">
        <v>94</v>
      </c>
      <c r="Q1" s="6" t="s">
        <v>95</v>
      </c>
    </row>
    <row r="2" customFormat="false" ht="15" hidden="false" customHeight="false" outlineLevel="0" collapsed="false">
      <c r="A2" s="14" t="s">
        <v>96</v>
      </c>
      <c r="B2" s="15" t="s">
        <v>97</v>
      </c>
      <c r="C2" s="16" t="s">
        <v>98</v>
      </c>
      <c r="D2" s="16" t="s">
        <v>99</v>
      </c>
      <c r="E2" s="17" t="s">
        <v>100</v>
      </c>
      <c r="F2" s="18" t="n">
        <v>25</v>
      </c>
      <c r="G2" s="19" t="n">
        <f aca="false">F2*Assumptions!$B$7</f>
        <v>31.25</v>
      </c>
      <c r="H2" s="17" t="n">
        <v>1</v>
      </c>
      <c r="I2" s="17" t="n">
        <v>1</v>
      </c>
      <c r="J2" s="15" t="n">
        <f aca="false">I2-H2+1</f>
        <v>1</v>
      </c>
      <c r="K2" s="20" t="n">
        <f aca="false">IFERROR(F2/J2,0)</f>
        <v>25</v>
      </c>
      <c r="L2" s="17" t="s">
        <v>101</v>
      </c>
      <c r="M2" s="21" t="str">
        <f aca="false">IFERROR(INDEX(Releases!$A$5:$A$10,MATCH(I2-1,Releases!$E$5:$E$10,1)),"")</f>
        <v>R0.1 Alpha</v>
      </c>
      <c r="N2" s="16"/>
      <c r="O2" s="17" t="s">
        <v>102</v>
      </c>
      <c r="P2" s="22"/>
      <c r="Q2" s="16" t="s">
        <v>103</v>
      </c>
    </row>
    <row r="3" customFormat="false" ht="15" hidden="false" customHeight="false" outlineLevel="0" collapsed="false">
      <c r="A3" s="23" t="s">
        <v>104</v>
      </c>
      <c r="B3" s="24" t="s">
        <v>97</v>
      </c>
      <c r="C3" s="25" t="s">
        <v>98</v>
      </c>
      <c r="D3" s="25" t="s">
        <v>105</v>
      </c>
      <c r="E3" s="26" t="s">
        <v>100</v>
      </c>
      <c r="F3" s="27" t="n">
        <v>30</v>
      </c>
      <c r="G3" s="28" t="n">
        <f aca="false">F3*Assumptions!$B$7</f>
        <v>37.5</v>
      </c>
      <c r="H3" s="26" t="n">
        <v>1</v>
      </c>
      <c r="I3" s="26" t="n">
        <v>2</v>
      </c>
      <c r="J3" s="24" t="n">
        <f aca="false">I3-H3+1</f>
        <v>2</v>
      </c>
      <c r="K3" s="13" t="n">
        <f aca="false">IFERROR(F3/J3,0)</f>
        <v>15</v>
      </c>
      <c r="L3" s="26" t="s">
        <v>101</v>
      </c>
      <c r="M3" s="29" t="str">
        <f aca="false">IFERROR(INDEX(Releases!$A$5:$A$10,MATCH(I3-1,Releases!$E$5:$E$10,1)),"")</f>
        <v>R0.1 Alpha</v>
      </c>
      <c r="N3" s="25" t="s">
        <v>96</v>
      </c>
      <c r="O3" s="26" t="s">
        <v>102</v>
      </c>
      <c r="P3" s="30"/>
      <c r="Q3" s="25" t="s">
        <v>106</v>
      </c>
    </row>
    <row r="4" customFormat="false" ht="15" hidden="false" customHeight="false" outlineLevel="0" collapsed="false">
      <c r="A4" s="14" t="s">
        <v>107</v>
      </c>
      <c r="B4" s="15" t="s">
        <v>97</v>
      </c>
      <c r="C4" s="16" t="s">
        <v>98</v>
      </c>
      <c r="D4" s="16" t="s">
        <v>108</v>
      </c>
      <c r="E4" s="17" t="s">
        <v>100</v>
      </c>
      <c r="F4" s="18" t="n">
        <v>45</v>
      </c>
      <c r="G4" s="19" t="n">
        <f aca="false">F4*Assumptions!$B$7</f>
        <v>56.25</v>
      </c>
      <c r="H4" s="17" t="n">
        <v>2</v>
      </c>
      <c r="I4" s="17" t="n">
        <v>3</v>
      </c>
      <c r="J4" s="15" t="n">
        <f aca="false">I4-H4+1</f>
        <v>2</v>
      </c>
      <c r="K4" s="20" t="n">
        <f aca="false">IFERROR(F4/J4,0)</f>
        <v>22.5</v>
      </c>
      <c r="L4" s="17" t="s">
        <v>101</v>
      </c>
      <c r="M4" s="21" t="str">
        <f aca="false">IFERROR(INDEX(Releases!$A$5:$A$10,MATCH(I4-1,Releases!$E$5:$E$10,1)),"")</f>
        <v>R0.5 Beta (MVP)</v>
      </c>
      <c r="N4" s="16" t="s">
        <v>104</v>
      </c>
      <c r="O4" s="17" t="s">
        <v>102</v>
      </c>
      <c r="P4" s="22"/>
      <c r="Q4" s="16"/>
    </row>
    <row r="5" customFormat="false" ht="15" hidden="false" customHeight="false" outlineLevel="0" collapsed="false">
      <c r="A5" s="23" t="s">
        <v>109</v>
      </c>
      <c r="B5" s="24" t="s">
        <v>97</v>
      </c>
      <c r="C5" s="25" t="s">
        <v>98</v>
      </c>
      <c r="D5" s="25" t="s">
        <v>110</v>
      </c>
      <c r="E5" s="26" t="s">
        <v>100</v>
      </c>
      <c r="F5" s="27" t="n">
        <v>25</v>
      </c>
      <c r="G5" s="28" t="n">
        <f aca="false">F5*Assumptions!$B$7</f>
        <v>31.25</v>
      </c>
      <c r="H5" s="26" t="n">
        <v>1</v>
      </c>
      <c r="I5" s="26" t="n">
        <v>2</v>
      </c>
      <c r="J5" s="24" t="n">
        <f aca="false">I5-H5+1</f>
        <v>2</v>
      </c>
      <c r="K5" s="13" t="n">
        <f aca="false">IFERROR(F5/J5,0)</f>
        <v>12.5</v>
      </c>
      <c r="L5" s="26" t="s">
        <v>101</v>
      </c>
      <c r="M5" s="29" t="str">
        <f aca="false">IFERROR(INDEX(Releases!$A$5:$A$10,MATCH(I5-1,Releases!$E$5:$E$10,1)),"")</f>
        <v>R0.1 Alpha</v>
      </c>
      <c r="N5" s="25" t="s">
        <v>96</v>
      </c>
      <c r="O5" s="26" t="s">
        <v>102</v>
      </c>
      <c r="P5" s="30"/>
      <c r="Q5" s="25"/>
    </row>
    <row r="6" customFormat="false" ht="15" hidden="false" customHeight="false" outlineLevel="0" collapsed="false">
      <c r="A6" s="14" t="s">
        <v>111</v>
      </c>
      <c r="B6" s="15" t="s">
        <v>97</v>
      </c>
      <c r="C6" s="16" t="s">
        <v>98</v>
      </c>
      <c r="D6" s="16" t="s">
        <v>112</v>
      </c>
      <c r="E6" s="17" t="s">
        <v>100</v>
      </c>
      <c r="F6" s="18" t="n">
        <v>40</v>
      </c>
      <c r="G6" s="19" t="n">
        <f aca="false">F6*Assumptions!$B$7</f>
        <v>50</v>
      </c>
      <c r="H6" s="17" t="n">
        <v>6</v>
      </c>
      <c r="I6" s="17" t="n">
        <v>6</v>
      </c>
      <c r="J6" s="15" t="n">
        <f aca="false">I6-H6+1</f>
        <v>1</v>
      </c>
      <c r="K6" s="20" t="n">
        <f aca="false">IFERROR(F6/J6,0)</f>
        <v>40</v>
      </c>
      <c r="L6" s="17" t="s">
        <v>101</v>
      </c>
      <c r="M6" s="21" t="str">
        <f aca="false">IFERROR(INDEX(Releases!$A$5:$A$10,MATCH(I6-1,Releases!$E$5:$E$10,1)),"")</f>
        <v>R1.0 GA-1</v>
      </c>
      <c r="N6" s="16" t="s">
        <v>107</v>
      </c>
      <c r="O6" s="17" t="s">
        <v>102</v>
      </c>
      <c r="P6" s="22"/>
      <c r="Q6" s="16" t="s">
        <v>113</v>
      </c>
    </row>
    <row r="7" customFormat="false" ht="15" hidden="false" customHeight="false" outlineLevel="0" collapsed="false">
      <c r="A7" s="23" t="s">
        <v>114</v>
      </c>
      <c r="B7" s="24" t="s">
        <v>97</v>
      </c>
      <c r="C7" s="25" t="s">
        <v>98</v>
      </c>
      <c r="D7" s="25" t="s">
        <v>115</v>
      </c>
      <c r="E7" s="26" t="s">
        <v>100</v>
      </c>
      <c r="F7" s="27" t="n">
        <v>30</v>
      </c>
      <c r="G7" s="28" t="n">
        <f aca="false">F7*Assumptions!$B$7</f>
        <v>37.5</v>
      </c>
      <c r="H7" s="26" t="n">
        <v>2</v>
      </c>
      <c r="I7" s="26" t="n">
        <v>2</v>
      </c>
      <c r="J7" s="24" t="n">
        <f aca="false">I7-H7+1</f>
        <v>1</v>
      </c>
      <c r="K7" s="13" t="n">
        <f aca="false">IFERROR(F7/J7,0)</f>
        <v>30</v>
      </c>
      <c r="L7" s="26" t="s">
        <v>116</v>
      </c>
      <c r="M7" s="29" t="str">
        <f aca="false">IFERROR(INDEX(Releases!$A$5:$A$10,MATCH(I7-1,Releases!$E$5:$E$10,1)),"")</f>
        <v>R0.1 Alpha</v>
      </c>
      <c r="N7" s="25" t="s">
        <v>104</v>
      </c>
      <c r="O7" s="26" t="s">
        <v>102</v>
      </c>
      <c r="P7" s="30"/>
      <c r="Q7" s="25"/>
    </row>
    <row r="8" customFormat="false" ht="15" hidden="false" customHeight="false" outlineLevel="0" collapsed="false">
      <c r="A8" s="14" t="s">
        <v>117</v>
      </c>
      <c r="B8" s="15" t="s">
        <v>97</v>
      </c>
      <c r="C8" s="16" t="s">
        <v>98</v>
      </c>
      <c r="D8" s="16" t="s">
        <v>118</v>
      </c>
      <c r="E8" s="17" t="s">
        <v>100</v>
      </c>
      <c r="F8" s="18" t="n">
        <v>70</v>
      </c>
      <c r="G8" s="19" t="n">
        <f aca="false">F8*Assumptions!$B$7</f>
        <v>87.5</v>
      </c>
      <c r="H8" s="17" t="n">
        <v>1</v>
      </c>
      <c r="I8" s="17" t="n">
        <v>2</v>
      </c>
      <c r="J8" s="15" t="n">
        <f aca="false">I8-H8+1</f>
        <v>2</v>
      </c>
      <c r="K8" s="20" t="n">
        <f aca="false">IFERROR(F8/J8,0)</f>
        <v>35</v>
      </c>
      <c r="L8" s="17" t="s">
        <v>116</v>
      </c>
      <c r="M8" s="21" t="str">
        <f aca="false">IFERROR(INDEX(Releases!$A$5:$A$10,MATCH(I8-1,Releases!$E$5:$E$10,1)),"")</f>
        <v>R0.1 Alpha</v>
      </c>
      <c r="N8" s="16" t="s">
        <v>104</v>
      </c>
      <c r="O8" s="17" t="s">
        <v>102</v>
      </c>
      <c r="P8" s="22"/>
      <c r="Q8" s="16" t="s">
        <v>119</v>
      </c>
    </row>
    <row r="9" customFormat="false" ht="23.85" hidden="false" customHeight="false" outlineLevel="0" collapsed="false">
      <c r="A9" s="23" t="s">
        <v>120</v>
      </c>
      <c r="B9" s="24" t="s">
        <v>97</v>
      </c>
      <c r="C9" s="25" t="s">
        <v>98</v>
      </c>
      <c r="D9" s="25" t="s">
        <v>121</v>
      </c>
      <c r="E9" s="26" t="s">
        <v>100</v>
      </c>
      <c r="F9" s="27" t="n">
        <v>75</v>
      </c>
      <c r="G9" s="28" t="n">
        <f aca="false">F9*Assumptions!$B$7</f>
        <v>93.75</v>
      </c>
      <c r="H9" s="26" t="n">
        <v>1</v>
      </c>
      <c r="I9" s="26" t="n">
        <v>2</v>
      </c>
      <c r="J9" s="24" t="n">
        <f aca="false">I9-H9+1</f>
        <v>2</v>
      </c>
      <c r="K9" s="13" t="n">
        <f aca="false">IFERROR(F9/J9,0)</f>
        <v>37.5</v>
      </c>
      <c r="L9" s="26" t="s">
        <v>122</v>
      </c>
      <c r="M9" s="29" t="str">
        <f aca="false">IFERROR(INDEX(Releases!$A$5:$A$10,MATCH(I9-1,Releases!$E$5:$E$10,1)),"")</f>
        <v>R0.1 Alpha</v>
      </c>
      <c r="N9" s="25" t="s">
        <v>96</v>
      </c>
      <c r="O9" s="26" t="s">
        <v>102</v>
      </c>
      <c r="P9" s="30"/>
      <c r="Q9" s="25" t="s">
        <v>123</v>
      </c>
    </row>
    <row r="10" customFormat="false" ht="15" hidden="false" customHeight="false" outlineLevel="0" collapsed="false">
      <c r="A10" s="14" t="s">
        <v>124</v>
      </c>
      <c r="B10" s="15" t="s">
        <v>97</v>
      </c>
      <c r="C10" s="16" t="s">
        <v>98</v>
      </c>
      <c r="D10" s="16" t="s">
        <v>125</v>
      </c>
      <c r="E10" s="17" t="s">
        <v>100</v>
      </c>
      <c r="F10" s="18" t="n">
        <v>55</v>
      </c>
      <c r="G10" s="19" t="n">
        <f aca="false">F10*Assumptions!$B$7</f>
        <v>68.75</v>
      </c>
      <c r="H10" s="17" t="n">
        <v>2</v>
      </c>
      <c r="I10" s="17" t="n">
        <v>2</v>
      </c>
      <c r="J10" s="15" t="n">
        <f aca="false">I10-H10+1</f>
        <v>1</v>
      </c>
      <c r="K10" s="20" t="n">
        <f aca="false">IFERROR(F10/J10,0)</f>
        <v>55</v>
      </c>
      <c r="L10" s="17" t="s">
        <v>122</v>
      </c>
      <c r="M10" s="21" t="str">
        <f aca="false">IFERROR(INDEX(Releases!$A$5:$A$10,MATCH(I10-1,Releases!$E$5:$E$10,1)),"")</f>
        <v>R0.1 Alpha</v>
      </c>
      <c r="N10" s="16" t="s">
        <v>120</v>
      </c>
      <c r="O10" s="17" t="s">
        <v>102</v>
      </c>
      <c r="P10" s="22"/>
      <c r="Q10" s="16"/>
    </row>
    <row r="11" customFormat="false" ht="23.85" hidden="false" customHeight="false" outlineLevel="0" collapsed="false">
      <c r="A11" s="23" t="s">
        <v>126</v>
      </c>
      <c r="B11" s="24" t="s">
        <v>97</v>
      </c>
      <c r="C11" s="25" t="s">
        <v>98</v>
      </c>
      <c r="D11" s="25" t="s">
        <v>127</v>
      </c>
      <c r="E11" s="26" t="s">
        <v>100</v>
      </c>
      <c r="F11" s="27" t="n">
        <v>80</v>
      </c>
      <c r="G11" s="28" t="n">
        <f aca="false">F11*Assumptions!$B$7</f>
        <v>100</v>
      </c>
      <c r="H11" s="26" t="n">
        <v>1</v>
      </c>
      <c r="I11" s="26" t="n">
        <v>2</v>
      </c>
      <c r="J11" s="24" t="n">
        <f aca="false">I11-H11+1</f>
        <v>2</v>
      </c>
      <c r="K11" s="13" t="n">
        <f aca="false">IFERROR(F11/J11,0)</f>
        <v>40</v>
      </c>
      <c r="L11" s="26" t="s">
        <v>128</v>
      </c>
      <c r="M11" s="29" t="str">
        <f aca="false">IFERROR(INDEX(Releases!$A$5:$A$10,MATCH(I11-1,Releases!$E$5:$E$10,1)),"")</f>
        <v>R0.1 Alpha</v>
      </c>
      <c r="N11" s="25" t="s">
        <v>120</v>
      </c>
      <c r="O11" s="26" t="s">
        <v>102</v>
      </c>
      <c r="P11" s="30"/>
      <c r="Q11" s="25"/>
    </row>
    <row r="12" customFormat="false" ht="15" hidden="false" customHeight="false" outlineLevel="0" collapsed="false">
      <c r="A12" s="14" t="s">
        <v>129</v>
      </c>
      <c r="B12" s="15" t="s">
        <v>97</v>
      </c>
      <c r="C12" s="16" t="s">
        <v>98</v>
      </c>
      <c r="D12" s="16" t="s">
        <v>130</v>
      </c>
      <c r="E12" s="17" t="s">
        <v>100</v>
      </c>
      <c r="F12" s="18" t="n">
        <v>90</v>
      </c>
      <c r="G12" s="19" t="n">
        <f aca="false">F12*Assumptions!$B$7</f>
        <v>112.5</v>
      </c>
      <c r="H12" s="17" t="n">
        <v>6</v>
      </c>
      <c r="I12" s="17" t="n">
        <v>7</v>
      </c>
      <c r="J12" s="15" t="n">
        <f aca="false">I12-H12+1</f>
        <v>2</v>
      </c>
      <c r="K12" s="20" t="n">
        <f aca="false">IFERROR(F12/J12,0)</f>
        <v>45</v>
      </c>
      <c r="L12" s="17" t="s">
        <v>122</v>
      </c>
      <c r="M12" s="21" t="str">
        <f aca="false">IFERROR(INDEX(Releases!$A$5:$A$10,MATCH(I12-1,Releases!$E$5:$E$10,1)),"")</f>
        <v>R1.5 GA-2</v>
      </c>
      <c r="N12" s="16" t="s">
        <v>120</v>
      </c>
      <c r="O12" s="17" t="s">
        <v>102</v>
      </c>
      <c r="P12" s="22"/>
      <c r="Q12" s="16" t="s">
        <v>131</v>
      </c>
    </row>
    <row r="13" customFormat="false" ht="15" hidden="false" customHeight="false" outlineLevel="0" collapsed="false">
      <c r="A13" s="23" t="s">
        <v>132</v>
      </c>
      <c r="B13" s="24" t="s">
        <v>97</v>
      </c>
      <c r="C13" s="25" t="s">
        <v>98</v>
      </c>
      <c r="D13" s="25" t="s">
        <v>133</v>
      </c>
      <c r="E13" s="26" t="s">
        <v>100</v>
      </c>
      <c r="F13" s="27" t="n">
        <v>50</v>
      </c>
      <c r="G13" s="28" t="n">
        <f aca="false">F13*Assumptions!$B$7</f>
        <v>62.5</v>
      </c>
      <c r="H13" s="26" t="n">
        <v>2</v>
      </c>
      <c r="I13" s="26" t="n">
        <v>3</v>
      </c>
      <c r="J13" s="24" t="n">
        <f aca="false">I13-H13+1</f>
        <v>2</v>
      </c>
      <c r="K13" s="13" t="n">
        <f aca="false">IFERROR(F13/J13,0)</f>
        <v>25</v>
      </c>
      <c r="L13" s="26" t="s">
        <v>122</v>
      </c>
      <c r="M13" s="29" t="str">
        <f aca="false">IFERROR(INDEX(Releases!$A$5:$A$10,MATCH(I13-1,Releases!$E$5:$E$10,1)),"")</f>
        <v>R0.5 Beta (MVP)</v>
      </c>
      <c r="N13" s="25" t="s">
        <v>117</v>
      </c>
      <c r="O13" s="26" t="s">
        <v>102</v>
      </c>
      <c r="P13" s="30"/>
      <c r="Q13" s="25"/>
    </row>
    <row r="14" customFormat="false" ht="15" hidden="false" customHeight="false" outlineLevel="0" collapsed="false">
      <c r="A14" s="14" t="s">
        <v>134</v>
      </c>
      <c r="B14" s="15" t="s">
        <v>97</v>
      </c>
      <c r="C14" s="16" t="s">
        <v>98</v>
      </c>
      <c r="D14" s="16" t="s">
        <v>135</v>
      </c>
      <c r="E14" s="17" t="s">
        <v>100</v>
      </c>
      <c r="F14" s="18" t="n">
        <v>70</v>
      </c>
      <c r="G14" s="19" t="n">
        <f aca="false">F14*Assumptions!$B$7</f>
        <v>87.5</v>
      </c>
      <c r="H14" s="17" t="n">
        <v>1</v>
      </c>
      <c r="I14" s="17" t="n">
        <v>2</v>
      </c>
      <c r="J14" s="15" t="n">
        <f aca="false">I14-H14+1</f>
        <v>2</v>
      </c>
      <c r="K14" s="20" t="n">
        <f aca="false">IFERROR(F14/J14,0)</f>
        <v>35</v>
      </c>
      <c r="L14" s="17" t="s">
        <v>136</v>
      </c>
      <c r="M14" s="21" t="str">
        <f aca="false">IFERROR(INDEX(Releases!$A$5:$A$10,MATCH(I14-1,Releases!$E$5:$E$10,1)),"")</f>
        <v>R0.1 Alpha</v>
      </c>
      <c r="N14" s="16" t="s">
        <v>96</v>
      </c>
      <c r="O14" s="17" t="s">
        <v>102</v>
      </c>
      <c r="P14" s="22"/>
      <c r="Q14" s="16"/>
    </row>
    <row r="15" customFormat="false" ht="23.85" hidden="false" customHeight="false" outlineLevel="0" collapsed="false">
      <c r="A15" s="23" t="s">
        <v>137</v>
      </c>
      <c r="B15" s="24" t="s">
        <v>138</v>
      </c>
      <c r="C15" s="25" t="s">
        <v>139</v>
      </c>
      <c r="D15" s="25" t="s">
        <v>140</v>
      </c>
      <c r="E15" s="26" t="s">
        <v>100</v>
      </c>
      <c r="F15" s="27" t="n">
        <v>70</v>
      </c>
      <c r="G15" s="28" t="n">
        <f aca="false">F15*Assumptions!$B$7</f>
        <v>87.5</v>
      </c>
      <c r="H15" s="26" t="n">
        <v>2</v>
      </c>
      <c r="I15" s="26" t="n">
        <v>3</v>
      </c>
      <c r="J15" s="24" t="n">
        <f aca="false">I15-H15+1</f>
        <v>2</v>
      </c>
      <c r="K15" s="13" t="n">
        <f aca="false">IFERROR(F15/J15,0)</f>
        <v>35</v>
      </c>
      <c r="L15" s="26" t="s">
        <v>116</v>
      </c>
      <c r="M15" s="29" t="str">
        <f aca="false">IFERROR(INDEX(Releases!$A$5:$A$10,MATCH(I15-1,Releases!$E$5:$E$10,1)),"")</f>
        <v>R0.5 Beta (MVP)</v>
      </c>
      <c r="N15" s="25" t="s">
        <v>114</v>
      </c>
      <c r="O15" s="26" t="s">
        <v>102</v>
      </c>
      <c r="P15" s="30"/>
      <c r="Q15" s="25" t="s">
        <v>141</v>
      </c>
    </row>
    <row r="16" customFormat="false" ht="23.85" hidden="false" customHeight="false" outlineLevel="0" collapsed="false">
      <c r="A16" s="14" t="s">
        <v>142</v>
      </c>
      <c r="B16" s="15" t="s">
        <v>138</v>
      </c>
      <c r="C16" s="16" t="s">
        <v>139</v>
      </c>
      <c r="D16" s="16" t="s">
        <v>143</v>
      </c>
      <c r="E16" s="17" t="s">
        <v>100</v>
      </c>
      <c r="F16" s="18" t="n">
        <v>35</v>
      </c>
      <c r="G16" s="19" t="n">
        <f aca="false">F16*Assumptions!$B$7</f>
        <v>43.75</v>
      </c>
      <c r="H16" s="17" t="n">
        <v>2</v>
      </c>
      <c r="I16" s="17" t="n">
        <v>2</v>
      </c>
      <c r="J16" s="15" t="n">
        <f aca="false">I16-H16+1</f>
        <v>1</v>
      </c>
      <c r="K16" s="20" t="n">
        <f aca="false">IFERROR(F16/J16,0)</f>
        <v>35</v>
      </c>
      <c r="L16" s="17" t="s">
        <v>116</v>
      </c>
      <c r="M16" s="21" t="str">
        <f aca="false">IFERROR(INDEX(Releases!$A$5:$A$10,MATCH(I16-1,Releases!$E$5:$E$10,1)),"")</f>
        <v>R0.1 Alpha</v>
      </c>
      <c r="N16" s="16" t="s">
        <v>117</v>
      </c>
      <c r="O16" s="17" t="s">
        <v>102</v>
      </c>
      <c r="P16" s="22"/>
      <c r="Q16" s="16"/>
    </row>
    <row r="17" customFormat="false" ht="15" hidden="false" customHeight="false" outlineLevel="0" collapsed="false">
      <c r="A17" s="23" t="s">
        <v>144</v>
      </c>
      <c r="B17" s="24" t="s">
        <v>138</v>
      </c>
      <c r="C17" s="25" t="s">
        <v>139</v>
      </c>
      <c r="D17" s="25" t="s">
        <v>145</v>
      </c>
      <c r="E17" s="26" t="s">
        <v>100</v>
      </c>
      <c r="F17" s="27" t="n">
        <v>20</v>
      </c>
      <c r="G17" s="28" t="n">
        <f aca="false">F17*Assumptions!$B$7</f>
        <v>25</v>
      </c>
      <c r="H17" s="26" t="n">
        <v>2</v>
      </c>
      <c r="I17" s="26" t="n">
        <v>2</v>
      </c>
      <c r="J17" s="24" t="n">
        <f aca="false">I17-H17+1</f>
        <v>1</v>
      </c>
      <c r="K17" s="13" t="n">
        <f aca="false">IFERROR(F17/J17,0)</f>
        <v>20</v>
      </c>
      <c r="L17" s="26" t="s">
        <v>116</v>
      </c>
      <c r="M17" s="29" t="str">
        <f aca="false">IFERROR(INDEX(Releases!$A$5:$A$10,MATCH(I17-1,Releases!$E$5:$E$10,1)),"")</f>
        <v>R0.1 Alpha</v>
      </c>
      <c r="N17" s="25" t="s">
        <v>142</v>
      </c>
      <c r="O17" s="26" t="s">
        <v>102</v>
      </c>
      <c r="P17" s="30"/>
      <c r="Q17" s="25"/>
    </row>
    <row r="18" customFormat="false" ht="15" hidden="false" customHeight="false" outlineLevel="0" collapsed="false">
      <c r="A18" s="14" t="s">
        <v>146</v>
      </c>
      <c r="B18" s="15" t="s">
        <v>138</v>
      </c>
      <c r="C18" s="16" t="s">
        <v>139</v>
      </c>
      <c r="D18" s="16" t="s">
        <v>147</v>
      </c>
      <c r="E18" s="17" t="s">
        <v>100</v>
      </c>
      <c r="F18" s="18" t="n">
        <v>25</v>
      </c>
      <c r="G18" s="19" t="n">
        <f aca="false">F18*Assumptions!$B$7</f>
        <v>31.25</v>
      </c>
      <c r="H18" s="17" t="n">
        <v>2</v>
      </c>
      <c r="I18" s="17" t="n">
        <v>2</v>
      </c>
      <c r="J18" s="15" t="n">
        <f aca="false">I18-H18+1</f>
        <v>1</v>
      </c>
      <c r="K18" s="20" t="n">
        <f aca="false">IFERROR(F18/J18,0)</f>
        <v>25</v>
      </c>
      <c r="L18" s="17" t="s">
        <v>116</v>
      </c>
      <c r="M18" s="21" t="str">
        <f aca="false">IFERROR(INDEX(Releases!$A$5:$A$10,MATCH(I18-1,Releases!$E$5:$E$10,1)),"")</f>
        <v>R0.1 Alpha</v>
      </c>
      <c r="N18" s="16" t="s">
        <v>142</v>
      </c>
      <c r="O18" s="17" t="s">
        <v>102</v>
      </c>
      <c r="P18" s="22"/>
      <c r="Q18" s="16"/>
    </row>
    <row r="19" customFormat="false" ht="15" hidden="false" customHeight="false" outlineLevel="0" collapsed="false">
      <c r="A19" s="23" t="s">
        <v>148</v>
      </c>
      <c r="B19" s="24" t="s">
        <v>138</v>
      </c>
      <c r="C19" s="25" t="s">
        <v>139</v>
      </c>
      <c r="D19" s="25" t="s">
        <v>149</v>
      </c>
      <c r="E19" s="26" t="s">
        <v>100</v>
      </c>
      <c r="F19" s="27" t="n">
        <v>30</v>
      </c>
      <c r="G19" s="28" t="n">
        <f aca="false">F19*Assumptions!$B$7</f>
        <v>37.5</v>
      </c>
      <c r="H19" s="26" t="n">
        <v>2</v>
      </c>
      <c r="I19" s="26" t="n">
        <v>3</v>
      </c>
      <c r="J19" s="24" t="n">
        <f aca="false">I19-H19+1</f>
        <v>2</v>
      </c>
      <c r="K19" s="13" t="n">
        <f aca="false">IFERROR(F19/J19,0)</f>
        <v>15</v>
      </c>
      <c r="L19" s="26" t="s">
        <v>116</v>
      </c>
      <c r="M19" s="29" t="str">
        <f aca="false">IFERROR(INDEX(Releases!$A$5:$A$10,MATCH(I19-1,Releases!$E$5:$E$10,1)),"")</f>
        <v>R0.5 Beta (MVP)</v>
      </c>
      <c r="N19" s="25" t="s">
        <v>142</v>
      </c>
      <c r="O19" s="26" t="s">
        <v>102</v>
      </c>
      <c r="P19" s="30"/>
      <c r="Q19" s="25"/>
    </row>
    <row r="20" customFormat="false" ht="23.85" hidden="false" customHeight="false" outlineLevel="0" collapsed="false">
      <c r="A20" s="14" t="s">
        <v>150</v>
      </c>
      <c r="B20" s="15" t="s">
        <v>138</v>
      </c>
      <c r="C20" s="16" t="s">
        <v>139</v>
      </c>
      <c r="D20" s="16" t="s">
        <v>151</v>
      </c>
      <c r="E20" s="17" t="s">
        <v>100</v>
      </c>
      <c r="F20" s="18" t="n">
        <v>45</v>
      </c>
      <c r="G20" s="19" t="n">
        <f aca="false">F20*Assumptions!$B$7</f>
        <v>56.25</v>
      </c>
      <c r="H20" s="17" t="n">
        <v>2</v>
      </c>
      <c r="I20" s="17" t="n">
        <v>3</v>
      </c>
      <c r="J20" s="15" t="n">
        <f aca="false">I20-H20+1</f>
        <v>2</v>
      </c>
      <c r="K20" s="20" t="n">
        <f aca="false">IFERROR(F20/J20,0)</f>
        <v>22.5</v>
      </c>
      <c r="L20" s="17" t="s">
        <v>116</v>
      </c>
      <c r="M20" s="21" t="str">
        <f aca="false">IFERROR(INDEX(Releases!$A$5:$A$10,MATCH(I20-1,Releases!$E$5:$E$10,1)),"")</f>
        <v>R0.5 Beta (MVP)</v>
      </c>
      <c r="N20" s="16" t="s">
        <v>142</v>
      </c>
      <c r="O20" s="17" t="s">
        <v>102</v>
      </c>
      <c r="P20" s="22"/>
      <c r="Q20" s="16"/>
    </row>
    <row r="21" customFormat="false" ht="15" hidden="false" customHeight="false" outlineLevel="0" collapsed="false">
      <c r="A21" s="23" t="s">
        <v>152</v>
      </c>
      <c r="B21" s="24" t="s">
        <v>138</v>
      </c>
      <c r="C21" s="25" t="s">
        <v>139</v>
      </c>
      <c r="D21" s="25" t="s">
        <v>153</v>
      </c>
      <c r="E21" s="26" t="s">
        <v>154</v>
      </c>
      <c r="F21" s="27" t="n">
        <v>12</v>
      </c>
      <c r="G21" s="28" t="n">
        <f aca="false">F21*Assumptions!$B$7</f>
        <v>15</v>
      </c>
      <c r="H21" s="26" t="n">
        <v>3</v>
      </c>
      <c r="I21" s="26" t="n">
        <v>3</v>
      </c>
      <c r="J21" s="24" t="n">
        <f aca="false">I21-H21+1</f>
        <v>1</v>
      </c>
      <c r="K21" s="13" t="n">
        <f aca="false">IFERROR(F21/J21,0)</f>
        <v>12</v>
      </c>
      <c r="L21" s="26" t="s">
        <v>116</v>
      </c>
      <c r="M21" s="29" t="str">
        <f aca="false">IFERROR(INDEX(Releases!$A$5:$A$10,MATCH(I21-1,Releases!$E$5:$E$10,1)),"")</f>
        <v>R0.5 Beta (MVP)</v>
      </c>
      <c r="N21" s="25" t="s">
        <v>142</v>
      </c>
      <c r="O21" s="26" t="s">
        <v>102</v>
      </c>
      <c r="P21" s="30"/>
      <c r="Q21" s="25"/>
    </row>
    <row r="22" customFormat="false" ht="15" hidden="false" customHeight="false" outlineLevel="0" collapsed="false">
      <c r="A22" s="14" t="s">
        <v>155</v>
      </c>
      <c r="B22" s="15" t="s">
        <v>138</v>
      </c>
      <c r="C22" s="16" t="s">
        <v>139</v>
      </c>
      <c r="D22" s="16" t="s">
        <v>156</v>
      </c>
      <c r="E22" s="17" t="s">
        <v>100</v>
      </c>
      <c r="F22" s="18" t="n">
        <v>20</v>
      </c>
      <c r="G22" s="19" t="n">
        <f aca="false">F22*Assumptions!$B$7</f>
        <v>25</v>
      </c>
      <c r="H22" s="17" t="n">
        <v>4</v>
      </c>
      <c r="I22" s="17" t="n">
        <v>4</v>
      </c>
      <c r="J22" s="15" t="n">
        <f aca="false">I22-H22+1</f>
        <v>1</v>
      </c>
      <c r="K22" s="20" t="n">
        <f aca="false">IFERROR(F22/J22,0)</f>
        <v>20</v>
      </c>
      <c r="L22" s="17" t="s">
        <v>116</v>
      </c>
      <c r="M22" s="21" t="str">
        <f aca="false">IFERROR(INDEX(Releases!$A$5:$A$10,MATCH(I22-1,Releases!$E$5:$E$10,1)),"")</f>
        <v>R0.5 Beta (MVP)</v>
      </c>
      <c r="N22" s="16" t="s">
        <v>142</v>
      </c>
      <c r="O22" s="17" t="s">
        <v>102</v>
      </c>
      <c r="P22" s="22"/>
      <c r="Q22" s="16"/>
    </row>
    <row r="23" customFormat="false" ht="15" hidden="false" customHeight="false" outlineLevel="0" collapsed="false">
      <c r="A23" s="23" t="s">
        <v>157</v>
      </c>
      <c r="B23" s="24" t="s">
        <v>138</v>
      </c>
      <c r="C23" s="25" t="s">
        <v>139</v>
      </c>
      <c r="D23" s="25" t="s">
        <v>158</v>
      </c>
      <c r="E23" s="26" t="s">
        <v>159</v>
      </c>
      <c r="F23" s="27" t="n">
        <v>8</v>
      </c>
      <c r="G23" s="28" t="n">
        <f aca="false">F23*Assumptions!$B$7</f>
        <v>10</v>
      </c>
      <c r="H23" s="26" t="n">
        <v>10</v>
      </c>
      <c r="I23" s="26" t="n">
        <v>10</v>
      </c>
      <c r="J23" s="24" t="n">
        <f aca="false">I23-H23+1</f>
        <v>1</v>
      </c>
      <c r="K23" s="13" t="n">
        <f aca="false">IFERROR(F23/J23,0)</f>
        <v>8</v>
      </c>
      <c r="L23" s="26" t="s">
        <v>116</v>
      </c>
      <c r="M23" s="29" t="str">
        <f aca="false">IFERROR(INDEX(Releases!$A$5:$A$10,MATCH(I23-1,Releases!$E$5:$E$10,1)),"")</f>
        <v>R2.0 GA-3</v>
      </c>
      <c r="N23" s="25" t="s">
        <v>142</v>
      </c>
      <c r="O23" s="26" t="s">
        <v>102</v>
      </c>
      <c r="P23" s="30"/>
      <c r="Q23" s="25" t="s">
        <v>160</v>
      </c>
    </row>
    <row r="24" customFormat="false" ht="15" hidden="false" customHeight="false" outlineLevel="0" collapsed="false">
      <c r="A24" s="14" t="s">
        <v>161</v>
      </c>
      <c r="B24" s="15" t="s">
        <v>138</v>
      </c>
      <c r="C24" s="16" t="s">
        <v>139</v>
      </c>
      <c r="D24" s="16" t="s">
        <v>162</v>
      </c>
      <c r="E24" s="17" t="s">
        <v>154</v>
      </c>
      <c r="F24" s="18" t="n">
        <v>25</v>
      </c>
      <c r="G24" s="19" t="n">
        <f aca="false">F24*Assumptions!$B$7</f>
        <v>31.25</v>
      </c>
      <c r="H24" s="17" t="n">
        <v>7</v>
      </c>
      <c r="I24" s="17" t="n">
        <v>7</v>
      </c>
      <c r="J24" s="15" t="n">
        <f aca="false">I24-H24+1</f>
        <v>1</v>
      </c>
      <c r="K24" s="20" t="n">
        <f aca="false">IFERROR(F24/J24,0)</f>
        <v>25</v>
      </c>
      <c r="L24" s="17" t="s">
        <v>116</v>
      </c>
      <c r="M24" s="21" t="str">
        <f aca="false">IFERROR(INDEX(Releases!$A$5:$A$10,MATCH(I24-1,Releases!$E$5:$E$10,1)),"")</f>
        <v>R1.5 GA-2</v>
      </c>
      <c r="N24" s="16" t="s">
        <v>150</v>
      </c>
      <c r="O24" s="17" t="s">
        <v>102</v>
      </c>
      <c r="P24" s="22"/>
      <c r="Q24" s="16"/>
    </row>
    <row r="25" customFormat="false" ht="15" hidden="false" customHeight="false" outlineLevel="0" collapsed="false">
      <c r="A25" s="23" t="s">
        <v>163</v>
      </c>
      <c r="B25" s="24" t="s">
        <v>138</v>
      </c>
      <c r="C25" s="25" t="s">
        <v>139</v>
      </c>
      <c r="D25" s="25" t="s">
        <v>164</v>
      </c>
      <c r="E25" s="26" t="s">
        <v>100</v>
      </c>
      <c r="F25" s="27" t="n">
        <v>10</v>
      </c>
      <c r="G25" s="28" t="n">
        <f aca="false">F25*Assumptions!$B$7</f>
        <v>12.5</v>
      </c>
      <c r="H25" s="26" t="n">
        <v>3</v>
      </c>
      <c r="I25" s="26" t="n">
        <v>3</v>
      </c>
      <c r="J25" s="24" t="n">
        <f aca="false">I25-H25+1</f>
        <v>1</v>
      </c>
      <c r="K25" s="13" t="n">
        <f aca="false">IFERROR(F25/J25,0)</f>
        <v>10</v>
      </c>
      <c r="L25" s="26" t="s">
        <v>116</v>
      </c>
      <c r="M25" s="29" t="str">
        <f aca="false">IFERROR(INDEX(Releases!$A$5:$A$10,MATCH(I25-1,Releases!$E$5:$E$10,1)),"")</f>
        <v>R0.5 Beta (MVP)</v>
      </c>
      <c r="N25" s="25" t="s">
        <v>150</v>
      </c>
      <c r="O25" s="26" t="s">
        <v>102</v>
      </c>
      <c r="P25" s="30"/>
      <c r="Q25" s="25"/>
    </row>
    <row r="26" customFormat="false" ht="15" hidden="false" customHeight="false" outlineLevel="0" collapsed="false">
      <c r="A26" s="14" t="s">
        <v>165</v>
      </c>
      <c r="B26" s="15" t="s">
        <v>166</v>
      </c>
      <c r="C26" s="16" t="s">
        <v>167</v>
      </c>
      <c r="D26" s="16" t="s">
        <v>168</v>
      </c>
      <c r="E26" s="17" t="s">
        <v>100</v>
      </c>
      <c r="F26" s="18" t="n">
        <v>30</v>
      </c>
      <c r="G26" s="19" t="n">
        <f aca="false">F26*Assumptions!$B$7</f>
        <v>37.5</v>
      </c>
      <c r="H26" s="17" t="n">
        <v>3</v>
      </c>
      <c r="I26" s="17" t="n">
        <v>3</v>
      </c>
      <c r="J26" s="15" t="n">
        <f aca="false">I26-H26+1</f>
        <v>1</v>
      </c>
      <c r="K26" s="20" t="n">
        <f aca="false">IFERROR(F26/J26,0)</f>
        <v>30</v>
      </c>
      <c r="L26" s="17" t="s">
        <v>169</v>
      </c>
      <c r="M26" s="21" t="str">
        <f aca="false">IFERROR(INDEX(Releases!$A$5:$A$10,MATCH(I26-1,Releases!$E$5:$E$10,1)),"")</f>
        <v>R0.5 Beta (MVP)</v>
      </c>
      <c r="N26" s="16" t="s">
        <v>144</v>
      </c>
      <c r="O26" s="17" t="s">
        <v>102</v>
      </c>
      <c r="P26" s="22"/>
      <c r="Q26" s="16"/>
    </row>
    <row r="27" customFormat="false" ht="15" hidden="false" customHeight="false" outlineLevel="0" collapsed="false">
      <c r="A27" s="23" t="s">
        <v>170</v>
      </c>
      <c r="B27" s="24" t="s">
        <v>166</v>
      </c>
      <c r="C27" s="25" t="s">
        <v>167</v>
      </c>
      <c r="D27" s="25" t="s">
        <v>171</v>
      </c>
      <c r="E27" s="26" t="s">
        <v>100</v>
      </c>
      <c r="F27" s="27" t="n">
        <v>35</v>
      </c>
      <c r="G27" s="28" t="n">
        <f aca="false">F27*Assumptions!$B$7</f>
        <v>43.75</v>
      </c>
      <c r="H27" s="26" t="n">
        <v>3</v>
      </c>
      <c r="I27" s="26" t="n">
        <v>3</v>
      </c>
      <c r="J27" s="24" t="n">
        <f aca="false">I27-H27+1</f>
        <v>1</v>
      </c>
      <c r="K27" s="13" t="n">
        <f aca="false">IFERROR(F27/J27,0)</f>
        <v>35</v>
      </c>
      <c r="L27" s="26" t="s">
        <v>169</v>
      </c>
      <c r="M27" s="29" t="str">
        <f aca="false">IFERROR(INDEX(Releases!$A$5:$A$10,MATCH(I27-1,Releases!$E$5:$E$10,1)),"")</f>
        <v>R0.5 Beta (MVP)</v>
      </c>
      <c r="N27" s="25" t="s">
        <v>165</v>
      </c>
      <c r="O27" s="26" t="s">
        <v>102</v>
      </c>
      <c r="P27" s="30"/>
      <c r="Q27" s="25"/>
    </row>
    <row r="28" customFormat="false" ht="15" hidden="false" customHeight="false" outlineLevel="0" collapsed="false">
      <c r="A28" s="14" t="s">
        <v>172</v>
      </c>
      <c r="B28" s="15" t="s">
        <v>166</v>
      </c>
      <c r="C28" s="16" t="s">
        <v>167</v>
      </c>
      <c r="D28" s="16" t="s">
        <v>173</v>
      </c>
      <c r="E28" s="17" t="s">
        <v>100</v>
      </c>
      <c r="F28" s="18" t="n">
        <v>30</v>
      </c>
      <c r="G28" s="19" t="n">
        <f aca="false">F28*Assumptions!$B$7</f>
        <v>37.5</v>
      </c>
      <c r="H28" s="17" t="n">
        <v>3</v>
      </c>
      <c r="I28" s="17" t="n">
        <v>3</v>
      </c>
      <c r="J28" s="15" t="n">
        <f aca="false">I28-H28+1</f>
        <v>1</v>
      </c>
      <c r="K28" s="20" t="n">
        <f aca="false">IFERROR(F28/J28,0)</f>
        <v>30</v>
      </c>
      <c r="L28" s="17" t="s">
        <v>116</v>
      </c>
      <c r="M28" s="21" t="str">
        <f aca="false">IFERROR(INDEX(Releases!$A$5:$A$10,MATCH(I28-1,Releases!$E$5:$E$10,1)),"")</f>
        <v>R0.5 Beta (MVP)</v>
      </c>
      <c r="N28" s="16" t="s">
        <v>144</v>
      </c>
      <c r="O28" s="17" t="s">
        <v>102</v>
      </c>
      <c r="P28" s="22"/>
      <c r="Q28" s="16"/>
    </row>
    <row r="29" customFormat="false" ht="15" hidden="false" customHeight="false" outlineLevel="0" collapsed="false">
      <c r="A29" s="23" t="s">
        <v>174</v>
      </c>
      <c r="B29" s="24" t="s">
        <v>166</v>
      </c>
      <c r="C29" s="25" t="s">
        <v>167</v>
      </c>
      <c r="D29" s="25" t="s">
        <v>175</v>
      </c>
      <c r="E29" s="26" t="s">
        <v>154</v>
      </c>
      <c r="F29" s="27" t="n">
        <v>30</v>
      </c>
      <c r="G29" s="28" t="n">
        <f aca="false">F29*Assumptions!$B$7</f>
        <v>37.5</v>
      </c>
      <c r="H29" s="26" t="n">
        <v>9</v>
      </c>
      <c r="I29" s="26" t="n">
        <v>9</v>
      </c>
      <c r="J29" s="24" t="n">
        <f aca="false">I29-H29+1</f>
        <v>1</v>
      </c>
      <c r="K29" s="13" t="n">
        <f aca="false">IFERROR(F29/J29,0)</f>
        <v>30</v>
      </c>
      <c r="L29" s="26" t="s">
        <v>169</v>
      </c>
      <c r="M29" s="29" t="str">
        <f aca="false">IFERROR(INDEX(Releases!$A$5:$A$10,MATCH(I29-1,Releases!$E$5:$E$10,1)),"")</f>
        <v>R2.0 GA-3</v>
      </c>
      <c r="N29" s="25" t="s">
        <v>170</v>
      </c>
      <c r="O29" s="26" t="s">
        <v>102</v>
      </c>
      <c r="P29" s="30"/>
      <c r="Q29" s="25"/>
    </row>
    <row r="30" customFormat="false" ht="15" hidden="false" customHeight="false" outlineLevel="0" collapsed="false">
      <c r="A30" s="14" t="s">
        <v>176</v>
      </c>
      <c r="B30" s="15" t="s">
        <v>166</v>
      </c>
      <c r="C30" s="16" t="s">
        <v>167</v>
      </c>
      <c r="D30" s="16" t="s">
        <v>177</v>
      </c>
      <c r="E30" s="17" t="s">
        <v>100</v>
      </c>
      <c r="F30" s="18" t="n">
        <v>25</v>
      </c>
      <c r="G30" s="19" t="n">
        <f aca="false">F30*Assumptions!$B$7</f>
        <v>31.25</v>
      </c>
      <c r="H30" s="17" t="n">
        <v>3</v>
      </c>
      <c r="I30" s="17" t="n">
        <v>4</v>
      </c>
      <c r="J30" s="15" t="n">
        <f aca="false">I30-H30+1</f>
        <v>2</v>
      </c>
      <c r="K30" s="20" t="n">
        <f aca="false">IFERROR(F30/J30,0)</f>
        <v>12.5</v>
      </c>
      <c r="L30" s="17" t="s">
        <v>128</v>
      </c>
      <c r="M30" s="21" t="str">
        <f aca="false">IFERROR(INDEX(Releases!$A$5:$A$10,MATCH(I30-1,Releases!$E$5:$E$10,1)),"")</f>
        <v>R0.5 Beta (MVP)</v>
      </c>
      <c r="N30" s="16" t="s">
        <v>170</v>
      </c>
      <c r="O30" s="17" t="s">
        <v>102</v>
      </c>
      <c r="P30" s="22"/>
      <c r="Q30" s="16"/>
    </row>
    <row r="31" customFormat="false" ht="15" hidden="false" customHeight="false" outlineLevel="0" collapsed="false">
      <c r="A31" s="23" t="s">
        <v>178</v>
      </c>
      <c r="B31" s="24" t="s">
        <v>166</v>
      </c>
      <c r="C31" s="25" t="s">
        <v>167</v>
      </c>
      <c r="D31" s="25" t="s">
        <v>179</v>
      </c>
      <c r="E31" s="26" t="s">
        <v>100</v>
      </c>
      <c r="F31" s="27" t="n">
        <v>20</v>
      </c>
      <c r="G31" s="28" t="n">
        <f aca="false">F31*Assumptions!$B$7</f>
        <v>25</v>
      </c>
      <c r="H31" s="26" t="n">
        <v>3</v>
      </c>
      <c r="I31" s="26" t="n">
        <v>3</v>
      </c>
      <c r="J31" s="24" t="n">
        <f aca="false">I31-H31+1</f>
        <v>1</v>
      </c>
      <c r="K31" s="13" t="n">
        <f aca="false">IFERROR(F31/J31,0)</f>
        <v>20</v>
      </c>
      <c r="L31" s="26" t="s">
        <v>122</v>
      </c>
      <c r="M31" s="29" t="str">
        <f aca="false">IFERROR(INDEX(Releases!$A$5:$A$10,MATCH(I31-1,Releases!$E$5:$E$10,1)),"")</f>
        <v>R0.5 Beta (MVP)</v>
      </c>
      <c r="N31" s="25" t="s">
        <v>170</v>
      </c>
      <c r="O31" s="26" t="s">
        <v>102</v>
      </c>
      <c r="P31" s="30"/>
      <c r="Q31" s="25"/>
    </row>
    <row r="32" customFormat="false" ht="15" hidden="false" customHeight="false" outlineLevel="0" collapsed="false">
      <c r="A32" s="14" t="s">
        <v>180</v>
      </c>
      <c r="B32" s="15" t="s">
        <v>166</v>
      </c>
      <c r="C32" s="16" t="s">
        <v>167</v>
      </c>
      <c r="D32" s="16" t="s">
        <v>181</v>
      </c>
      <c r="E32" s="17" t="s">
        <v>154</v>
      </c>
      <c r="F32" s="18" t="n">
        <v>45</v>
      </c>
      <c r="G32" s="19" t="n">
        <f aca="false">F32*Assumptions!$B$7</f>
        <v>56.25</v>
      </c>
      <c r="H32" s="17" t="n">
        <v>5</v>
      </c>
      <c r="I32" s="17" t="n">
        <v>5</v>
      </c>
      <c r="J32" s="15" t="n">
        <f aca="false">I32-H32+1</f>
        <v>1</v>
      </c>
      <c r="K32" s="20" t="n">
        <f aca="false">IFERROR(F32/J32,0)</f>
        <v>45</v>
      </c>
      <c r="L32" s="17" t="s">
        <v>169</v>
      </c>
      <c r="M32" s="21" t="str">
        <f aca="false">IFERROR(INDEX(Releases!$A$5:$A$10,MATCH(I32-1,Releases!$E$5:$E$10,1)),"")</f>
        <v>R1.0 GA-1</v>
      </c>
      <c r="N32" s="16" t="s">
        <v>170</v>
      </c>
      <c r="O32" s="17" t="s">
        <v>102</v>
      </c>
      <c r="P32" s="22"/>
      <c r="Q32" s="16"/>
    </row>
    <row r="33" customFormat="false" ht="15" hidden="false" customHeight="false" outlineLevel="0" collapsed="false">
      <c r="A33" s="23" t="s">
        <v>182</v>
      </c>
      <c r="B33" s="24" t="s">
        <v>166</v>
      </c>
      <c r="C33" s="25" t="s">
        <v>167</v>
      </c>
      <c r="D33" s="25" t="s">
        <v>183</v>
      </c>
      <c r="E33" s="26" t="s">
        <v>154</v>
      </c>
      <c r="F33" s="27" t="n">
        <v>90</v>
      </c>
      <c r="G33" s="28" t="n">
        <f aca="false">F33*Assumptions!$B$7</f>
        <v>112.5</v>
      </c>
      <c r="H33" s="26" t="n">
        <v>9</v>
      </c>
      <c r="I33" s="26" t="n">
        <v>10</v>
      </c>
      <c r="J33" s="24" t="n">
        <f aca="false">I33-H33+1</f>
        <v>2</v>
      </c>
      <c r="K33" s="13" t="n">
        <f aca="false">IFERROR(F33/J33,0)</f>
        <v>45</v>
      </c>
      <c r="L33" s="26" t="s">
        <v>169</v>
      </c>
      <c r="M33" s="29" t="str">
        <f aca="false">IFERROR(INDEX(Releases!$A$5:$A$10,MATCH(I33-1,Releases!$E$5:$E$10,1)),"")</f>
        <v>R2.0 GA-3</v>
      </c>
      <c r="N33" s="25" t="s">
        <v>184</v>
      </c>
      <c r="O33" s="26" t="s">
        <v>102</v>
      </c>
      <c r="P33" s="30"/>
      <c r="Q33" s="25"/>
    </row>
    <row r="34" customFormat="false" ht="15" hidden="false" customHeight="false" outlineLevel="0" collapsed="false">
      <c r="A34" s="14" t="s">
        <v>185</v>
      </c>
      <c r="B34" s="15" t="s">
        <v>166</v>
      </c>
      <c r="C34" s="16" t="s">
        <v>167</v>
      </c>
      <c r="D34" s="16" t="s">
        <v>186</v>
      </c>
      <c r="E34" s="17" t="s">
        <v>159</v>
      </c>
      <c r="F34" s="18" t="n">
        <v>70</v>
      </c>
      <c r="G34" s="19" t="n">
        <f aca="false">F34*Assumptions!$B$7</f>
        <v>87.5</v>
      </c>
      <c r="H34" s="17" t="n">
        <v>9</v>
      </c>
      <c r="I34" s="17" t="n">
        <v>10</v>
      </c>
      <c r="J34" s="15" t="n">
        <f aca="false">I34-H34+1</f>
        <v>2</v>
      </c>
      <c r="K34" s="20" t="n">
        <f aca="false">IFERROR(F34/J34,0)</f>
        <v>35</v>
      </c>
      <c r="L34" s="17" t="s">
        <v>169</v>
      </c>
      <c r="M34" s="21" t="str">
        <f aca="false">IFERROR(INDEX(Releases!$A$5:$A$10,MATCH(I34-1,Releases!$E$5:$E$10,1)),"")</f>
        <v>R2.0 GA-3</v>
      </c>
      <c r="N34" s="16" t="s">
        <v>187</v>
      </c>
      <c r="O34" s="17" t="s">
        <v>102</v>
      </c>
      <c r="P34" s="22"/>
      <c r="Q34" s="16" t="s">
        <v>188</v>
      </c>
    </row>
    <row r="35" customFormat="false" ht="23.85" hidden="false" customHeight="false" outlineLevel="0" collapsed="false">
      <c r="A35" s="23" t="s">
        <v>189</v>
      </c>
      <c r="B35" s="24" t="s">
        <v>190</v>
      </c>
      <c r="C35" s="25" t="s">
        <v>191</v>
      </c>
      <c r="D35" s="25" t="s">
        <v>192</v>
      </c>
      <c r="E35" s="26" t="s">
        <v>100</v>
      </c>
      <c r="F35" s="27" t="n">
        <v>90</v>
      </c>
      <c r="G35" s="28" t="n">
        <f aca="false">F35*Assumptions!$B$7</f>
        <v>112.5</v>
      </c>
      <c r="H35" s="26" t="n">
        <v>3</v>
      </c>
      <c r="I35" s="26" t="n">
        <v>4</v>
      </c>
      <c r="J35" s="24" t="n">
        <f aca="false">I35-H35+1</f>
        <v>2</v>
      </c>
      <c r="K35" s="13" t="n">
        <f aca="false">IFERROR(F35/J35,0)</f>
        <v>45</v>
      </c>
      <c r="L35" s="26" t="s">
        <v>169</v>
      </c>
      <c r="M35" s="29" t="str">
        <f aca="false">IFERROR(INDEX(Releases!$A$5:$A$10,MATCH(I35-1,Releases!$E$5:$E$10,1)),"")</f>
        <v>R0.5 Beta (MVP)</v>
      </c>
      <c r="N35" s="25" t="s">
        <v>142</v>
      </c>
      <c r="O35" s="26" t="s">
        <v>102</v>
      </c>
      <c r="P35" s="30"/>
      <c r="Q35" s="25" t="s">
        <v>193</v>
      </c>
    </row>
    <row r="36" customFormat="false" ht="15" hidden="false" customHeight="false" outlineLevel="0" collapsed="false">
      <c r="A36" s="14" t="s">
        <v>187</v>
      </c>
      <c r="B36" s="15" t="s">
        <v>190</v>
      </c>
      <c r="C36" s="16" t="s">
        <v>191</v>
      </c>
      <c r="D36" s="16" t="s">
        <v>194</v>
      </c>
      <c r="E36" s="17" t="s">
        <v>100</v>
      </c>
      <c r="F36" s="18" t="n">
        <v>60</v>
      </c>
      <c r="G36" s="19" t="n">
        <f aca="false">F36*Assumptions!$B$7</f>
        <v>75</v>
      </c>
      <c r="H36" s="17" t="n">
        <v>4</v>
      </c>
      <c r="I36" s="17" t="n">
        <v>4</v>
      </c>
      <c r="J36" s="15" t="n">
        <f aca="false">I36-H36+1</f>
        <v>1</v>
      </c>
      <c r="K36" s="20" t="n">
        <f aca="false">IFERROR(F36/J36,0)</f>
        <v>60</v>
      </c>
      <c r="L36" s="17" t="s">
        <v>169</v>
      </c>
      <c r="M36" s="21" t="str">
        <f aca="false">IFERROR(INDEX(Releases!$A$5:$A$10,MATCH(I36-1,Releases!$E$5:$E$10,1)),"")</f>
        <v>R0.5 Beta (MVP)</v>
      </c>
      <c r="N36" s="16" t="s">
        <v>189</v>
      </c>
      <c r="O36" s="17" t="s">
        <v>102</v>
      </c>
      <c r="P36" s="22"/>
      <c r="Q36" s="16"/>
    </row>
    <row r="37" customFormat="false" ht="35.05" hidden="false" customHeight="false" outlineLevel="0" collapsed="false">
      <c r="A37" s="23" t="s">
        <v>184</v>
      </c>
      <c r="B37" s="24" t="s">
        <v>190</v>
      </c>
      <c r="C37" s="25" t="s">
        <v>191</v>
      </c>
      <c r="D37" s="25" t="s">
        <v>195</v>
      </c>
      <c r="E37" s="26" t="s">
        <v>100</v>
      </c>
      <c r="F37" s="27" t="n">
        <v>140</v>
      </c>
      <c r="G37" s="28" t="n">
        <f aca="false">F37*Assumptions!$B$7</f>
        <v>175</v>
      </c>
      <c r="H37" s="26" t="n">
        <v>4</v>
      </c>
      <c r="I37" s="26" t="n">
        <v>5</v>
      </c>
      <c r="J37" s="24" t="n">
        <f aca="false">I37-H37+1</f>
        <v>2</v>
      </c>
      <c r="K37" s="13" t="n">
        <f aca="false">IFERROR(F37/J37,0)</f>
        <v>70</v>
      </c>
      <c r="L37" s="26" t="s">
        <v>169</v>
      </c>
      <c r="M37" s="29" t="str">
        <f aca="false">IFERROR(INDEX(Releases!$A$5:$A$10,MATCH(I37-1,Releases!$E$5:$E$10,1)),"")</f>
        <v>R1.0 GA-1</v>
      </c>
      <c r="N37" s="25" t="s">
        <v>187</v>
      </c>
      <c r="O37" s="26" t="s">
        <v>102</v>
      </c>
      <c r="P37" s="30"/>
      <c r="Q37" s="25"/>
    </row>
    <row r="38" customFormat="false" ht="15" hidden="false" customHeight="false" outlineLevel="0" collapsed="false">
      <c r="A38" s="14" t="s">
        <v>196</v>
      </c>
      <c r="B38" s="15" t="s">
        <v>190</v>
      </c>
      <c r="C38" s="16" t="s">
        <v>191</v>
      </c>
      <c r="D38" s="16" t="s">
        <v>197</v>
      </c>
      <c r="E38" s="17" t="s">
        <v>100</v>
      </c>
      <c r="F38" s="18" t="n">
        <v>55</v>
      </c>
      <c r="G38" s="19" t="n">
        <f aca="false">F38*Assumptions!$B$7</f>
        <v>68.75</v>
      </c>
      <c r="H38" s="17" t="n">
        <v>5</v>
      </c>
      <c r="I38" s="17" t="n">
        <v>5</v>
      </c>
      <c r="J38" s="15" t="n">
        <f aca="false">I38-H38+1</f>
        <v>1</v>
      </c>
      <c r="K38" s="20" t="n">
        <f aca="false">IFERROR(F38/J38,0)</f>
        <v>55</v>
      </c>
      <c r="L38" s="17" t="s">
        <v>169</v>
      </c>
      <c r="M38" s="21" t="str">
        <f aca="false">IFERROR(INDEX(Releases!$A$5:$A$10,MATCH(I38-1,Releases!$E$5:$E$10,1)),"")</f>
        <v>R1.0 GA-1</v>
      </c>
      <c r="N38" s="16" t="s">
        <v>187</v>
      </c>
      <c r="O38" s="17" t="s">
        <v>102</v>
      </c>
      <c r="P38" s="22"/>
      <c r="Q38" s="16"/>
    </row>
    <row r="39" customFormat="false" ht="15" hidden="false" customHeight="false" outlineLevel="0" collapsed="false">
      <c r="A39" s="23" t="s">
        <v>198</v>
      </c>
      <c r="B39" s="24" t="s">
        <v>190</v>
      </c>
      <c r="C39" s="25" t="s">
        <v>191</v>
      </c>
      <c r="D39" s="25" t="s">
        <v>199</v>
      </c>
      <c r="E39" s="26" t="s">
        <v>154</v>
      </c>
      <c r="F39" s="27" t="n">
        <v>40</v>
      </c>
      <c r="G39" s="28" t="n">
        <f aca="false">F39*Assumptions!$B$7</f>
        <v>50</v>
      </c>
      <c r="H39" s="26" t="n">
        <v>8</v>
      </c>
      <c r="I39" s="26" t="n">
        <v>8</v>
      </c>
      <c r="J39" s="24" t="n">
        <f aca="false">I39-H39+1</f>
        <v>1</v>
      </c>
      <c r="K39" s="13" t="n">
        <f aca="false">IFERROR(F39/J39,0)</f>
        <v>40</v>
      </c>
      <c r="L39" s="26" t="s">
        <v>169</v>
      </c>
      <c r="M39" s="29" t="str">
        <f aca="false">IFERROR(INDEX(Releases!$A$5:$A$10,MATCH(I39-1,Releases!$E$5:$E$10,1)),"")</f>
        <v>R1.5 GA-2</v>
      </c>
      <c r="N39" s="25" t="s">
        <v>187</v>
      </c>
      <c r="O39" s="26" t="s">
        <v>102</v>
      </c>
      <c r="P39" s="30"/>
      <c r="Q39" s="25"/>
    </row>
    <row r="40" customFormat="false" ht="15" hidden="false" customHeight="false" outlineLevel="0" collapsed="false">
      <c r="A40" s="14" t="s">
        <v>200</v>
      </c>
      <c r="B40" s="15" t="s">
        <v>190</v>
      </c>
      <c r="C40" s="16" t="s">
        <v>191</v>
      </c>
      <c r="D40" s="16" t="s">
        <v>201</v>
      </c>
      <c r="E40" s="17" t="s">
        <v>154</v>
      </c>
      <c r="F40" s="18" t="n">
        <v>45</v>
      </c>
      <c r="G40" s="19" t="n">
        <f aca="false">F40*Assumptions!$B$7</f>
        <v>56.25</v>
      </c>
      <c r="H40" s="17" t="n">
        <v>7</v>
      </c>
      <c r="I40" s="17" t="n">
        <v>7</v>
      </c>
      <c r="J40" s="15" t="n">
        <f aca="false">I40-H40+1</f>
        <v>1</v>
      </c>
      <c r="K40" s="20" t="n">
        <f aca="false">IFERROR(F40/J40,0)</f>
        <v>45</v>
      </c>
      <c r="L40" s="17" t="s">
        <v>169</v>
      </c>
      <c r="M40" s="21" t="str">
        <f aca="false">IFERROR(INDEX(Releases!$A$5:$A$10,MATCH(I40-1,Releases!$E$5:$E$10,1)),"")</f>
        <v>R1.5 GA-2</v>
      </c>
      <c r="N40" s="16" t="s">
        <v>187</v>
      </c>
      <c r="O40" s="17" t="s">
        <v>102</v>
      </c>
      <c r="P40" s="22"/>
      <c r="Q40" s="16"/>
    </row>
    <row r="41" customFormat="false" ht="15" hidden="false" customHeight="false" outlineLevel="0" collapsed="false">
      <c r="A41" s="23" t="s">
        <v>202</v>
      </c>
      <c r="B41" s="24" t="s">
        <v>190</v>
      </c>
      <c r="C41" s="25" t="s">
        <v>191</v>
      </c>
      <c r="D41" s="25" t="s">
        <v>203</v>
      </c>
      <c r="E41" s="26" t="s">
        <v>154</v>
      </c>
      <c r="F41" s="27" t="n">
        <v>25</v>
      </c>
      <c r="G41" s="28" t="n">
        <f aca="false">F41*Assumptions!$B$7</f>
        <v>31.25</v>
      </c>
      <c r="H41" s="26" t="n">
        <v>8</v>
      </c>
      <c r="I41" s="26" t="n">
        <v>8</v>
      </c>
      <c r="J41" s="24" t="n">
        <f aca="false">I41-H41+1</f>
        <v>1</v>
      </c>
      <c r="K41" s="13" t="n">
        <f aca="false">IFERROR(F41/J41,0)</f>
        <v>25</v>
      </c>
      <c r="L41" s="26" t="s">
        <v>169</v>
      </c>
      <c r="M41" s="29" t="str">
        <f aca="false">IFERROR(INDEX(Releases!$A$5:$A$10,MATCH(I41-1,Releases!$E$5:$E$10,1)),"")</f>
        <v>R1.5 GA-2</v>
      </c>
      <c r="N41" s="25" t="s">
        <v>187</v>
      </c>
      <c r="O41" s="26" t="s">
        <v>102</v>
      </c>
      <c r="P41" s="30"/>
      <c r="Q41" s="25"/>
    </row>
    <row r="42" customFormat="false" ht="15" hidden="false" customHeight="false" outlineLevel="0" collapsed="false">
      <c r="A42" s="14" t="s">
        <v>204</v>
      </c>
      <c r="B42" s="15" t="s">
        <v>190</v>
      </c>
      <c r="C42" s="16" t="s">
        <v>191</v>
      </c>
      <c r="D42" s="16" t="s">
        <v>205</v>
      </c>
      <c r="E42" s="17" t="s">
        <v>100</v>
      </c>
      <c r="F42" s="18" t="n">
        <v>35</v>
      </c>
      <c r="G42" s="19" t="n">
        <f aca="false">F42*Assumptions!$B$7</f>
        <v>43.75</v>
      </c>
      <c r="H42" s="17" t="n">
        <v>5</v>
      </c>
      <c r="I42" s="17" t="n">
        <v>5</v>
      </c>
      <c r="J42" s="15" t="n">
        <f aca="false">I42-H42+1</f>
        <v>1</v>
      </c>
      <c r="K42" s="20" t="n">
        <f aca="false">IFERROR(F42/J42,0)</f>
        <v>35</v>
      </c>
      <c r="L42" s="17" t="s">
        <v>169</v>
      </c>
      <c r="M42" s="21" t="str">
        <f aca="false">IFERROR(INDEX(Releases!$A$5:$A$10,MATCH(I42-1,Releases!$E$5:$E$10,1)),"")</f>
        <v>R1.0 GA-1</v>
      </c>
      <c r="N42" s="16" t="s">
        <v>187</v>
      </c>
      <c r="O42" s="17" t="s">
        <v>102</v>
      </c>
      <c r="P42" s="22"/>
      <c r="Q42" s="16"/>
    </row>
    <row r="43" customFormat="false" ht="15" hidden="false" customHeight="false" outlineLevel="0" collapsed="false">
      <c r="A43" s="23" t="s">
        <v>206</v>
      </c>
      <c r="B43" s="24" t="s">
        <v>190</v>
      </c>
      <c r="C43" s="25" t="s">
        <v>191</v>
      </c>
      <c r="D43" s="25" t="s">
        <v>207</v>
      </c>
      <c r="E43" s="26" t="s">
        <v>154</v>
      </c>
      <c r="F43" s="27" t="n">
        <v>20</v>
      </c>
      <c r="G43" s="28" t="n">
        <f aca="false">F43*Assumptions!$B$7</f>
        <v>25</v>
      </c>
      <c r="H43" s="26" t="n">
        <v>6</v>
      </c>
      <c r="I43" s="26" t="n">
        <v>6</v>
      </c>
      <c r="J43" s="24" t="n">
        <f aca="false">I43-H43+1</f>
        <v>1</v>
      </c>
      <c r="K43" s="13" t="n">
        <f aca="false">IFERROR(F43/J43,0)</f>
        <v>20</v>
      </c>
      <c r="L43" s="26" t="s">
        <v>169</v>
      </c>
      <c r="M43" s="29" t="str">
        <f aca="false">IFERROR(INDEX(Releases!$A$5:$A$10,MATCH(I43-1,Releases!$E$5:$E$10,1)),"")</f>
        <v>R1.0 GA-1</v>
      </c>
      <c r="N43" s="25" t="s">
        <v>180</v>
      </c>
      <c r="O43" s="26" t="s">
        <v>102</v>
      </c>
      <c r="P43" s="30"/>
      <c r="Q43" s="25"/>
    </row>
    <row r="44" customFormat="false" ht="15" hidden="false" customHeight="false" outlineLevel="0" collapsed="false">
      <c r="A44" s="14" t="s">
        <v>208</v>
      </c>
      <c r="B44" s="15" t="s">
        <v>190</v>
      </c>
      <c r="C44" s="16" t="s">
        <v>191</v>
      </c>
      <c r="D44" s="16" t="s">
        <v>209</v>
      </c>
      <c r="E44" s="17" t="s">
        <v>100</v>
      </c>
      <c r="F44" s="18" t="n">
        <v>30</v>
      </c>
      <c r="G44" s="19" t="n">
        <f aca="false">F44*Assumptions!$B$7</f>
        <v>37.5</v>
      </c>
      <c r="H44" s="17" t="n">
        <v>5</v>
      </c>
      <c r="I44" s="17" t="n">
        <v>6</v>
      </c>
      <c r="J44" s="15" t="n">
        <f aca="false">I44-H44+1</f>
        <v>2</v>
      </c>
      <c r="K44" s="20" t="n">
        <f aca="false">IFERROR(F44/J44,0)</f>
        <v>15</v>
      </c>
      <c r="L44" s="17" t="s">
        <v>169</v>
      </c>
      <c r="M44" s="21" t="str">
        <f aca="false">IFERROR(INDEX(Releases!$A$5:$A$10,MATCH(I44-1,Releases!$E$5:$E$10,1)),"")</f>
        <v>R1.0 GA-1</v>
      </c>
      <c r="N44" s="16" t="s">
        <v>184</v>
      </c>
      <c r="O44" s="17" t="s">
        <v>102</v>
      </c>
      <c r="P44" s="22"/>
      <c r="Q44" s="16"/>
    </row>
    <row r="45" customFormat="false" ht="23.85" hidden="false" customHeight="false" outlineLevel="0" collapsed="false">
      <c r="A45" s="23" t="s">
        <v>210</v>
      </c>
      <c r="B45" s="24" t="s">
        <v>211</v>
      </c>
      <c r="C45" s="25" t="s">
        <v>212</v>
      </c>
      <c r="D45" s="25" t="s">
        <v>213</v>
      </c>
      <c r="E45" s="26" t="s">
        <v>100</v>
      </c>
      <c r="F45" s="27" t="n">
        <v>90</v>
      </c>
      <c r="G45" s="28" t="n">
        <f aca="false">F45*Assumptions!$B$7</f>
        <v>112.5</v>
      </c>
      <c r="H45" s="26" t="n">
        <v>3</v>
      </c>
      <c r="I45" s="26" t="n">
        <v>4</v>
      </c>
      <c r="J45" s="24" t="n">
        <f aca="false">I45-H45+1</f>
        <v>2</v>
      </c>
      <c r="K45" s="13" t="n">
        <f aca="false">IFERROR(F45/J45,0)</f>
        <v>45</v>
      </c>
      <c r="L45" s="26" t="s">
        <v>214</v>
      </c>
      <c r="M45" s="29" t="str">
        <f aca="false">IFERROR(INDEX(Releases!$A$5:$A$10,MATCH(I45-1,Releases!$E$5:$E$10,1)),"")</f>
        <v>R0.5 Beta (MVP)</v>
      </c>
      <c r="N45" s="25" t="s">
        <v>170</v>
      </c>
      <c r="O45" s="26" t="s">
        <v>102</v>
      </c>
      <c r="P45" s="30"/>
      <c r="Q45" s="25"/>
    </row>
    <row r="46" customFormat="false" ht="15" hidden="false" customHeight="false" outlineLevel="0" collapsed="false">
      <c r="A46" s="14" t="s">
        <v>215</v>
      </c>
      <c r="B46" s="15" t="s">
        <v>211</v>
      </c>
      <c r="C46" s="16" t="s">
        <v>212</v>
      </c>
      <c r="D46" s="16" t="s">
        <v>216</v>
      </c>
      <c r="E46" s="17" t="s">
        <v>154</v>
      </c>
      <c r="F46" s="18" t="n">
        <v>25</v>
      </c>
      <c r="G46" s="19" t="n">
        <f aca="false">F46*Assumptions!$B$7</f>
        <v>31.25</v>
      </c>
      <c r="H46" s="17" t="n">
        <v>7</v>
      </c>
      <c r="I46" s="17" t="n">
        <v>7</v>
      </c>
      <c r="J46" s="15" t="n">
        <f aca="false">I46-H46+1</f>
        <v>1</v>
      </c>
      <c r="K46" s="20" t="n">
        <f aca="false">IFERROR(F46/J46,0)</f>
        <v>25</v>
      </c>
      <c r="L46" s="17" t="s">
        <v>214</v>
      </c>
      <c r="M46" s="21" t="str">
        <f aca="false">IFERROR(INDEX(Releases!$A$5:$A$10,MATCH(I46-1,Releases!$E$5:$E$10,1)),"")</f>
        <v>R1.5 GA-2</v>
      </c>
      <c r="N46" s="16" t="s">
        <v>210</v>
      </c>
      <c r="O46" s="17" t="s">
        <v>102</v>
      </c>
      <c r="P46" s="22"/>
      <c r="Q46" s="16"/>
    </row>
    <row r="47" customFormat="false" ht="15" hidden="false" customHeight="false" outlineLevel="0" collapsed="false">
      <c r="A47" s="23" t="s">
        <v>217</v>
      </c>
      <c r="B47" s="24" t="s">
        <v>211</v>
      </c>
      <c r="C47" s="25" t="s">
        <v>212</v>
      </c>
      <c r="D47" s="25" t="s">
        <v>218</v>
      </c>
      <c r="E47" s="26" t="s">
        <v>154</v>
      </c>
      <c r="F47" s="27" t="n">
        <v>50</v>
      </c>
      <c r="G47" s="28" t="n">
        <f aca="false">F47*Assumptions!$B$7</f>
        <v>62.5</v>
      </c>
      <c r="H47" s="26" t="n">
        <v>8</v>
      </c>
      <c r="I47" s="26" t="n">
        <v>8</v>
      </c>
      <c r="J47" s="24" t="n">
        <f aca="false">I47-H47+1</f>
        <v>1</v>
      </c>
      <c r="K47" s="13" t="n">
        <f aca="false">IFERROR(F47/J47,0)</f>
        <v>50</v>
      </c>
      <c r="L47" s="26" t="s">
        <v>214</v>
      </c>
      <c r="M47" s="29" t="str">
        <f aca="false">IFERROR(INDEX(Releases!$A$5:$A$10,MATCH(I47-1,Releases!$E$5:$E$10,1)),"")</f>
        <v>R1.5 GA-2</v>
      </c>
      <c r="N47" s="25" t="s">
        <v>210</v>
      </c>
      <c r="O47" s="26" t="s">
        <v>102</v>
      </c>
      <c r="P47" s="30"/>
      <c r="Q47" s="25"/>
    </row>
    <row r="48" customFormat="false" ht="15" hidden="false" customHeight="false" outlineLevel="0" collapsed="false">
      <c r="A48" s="14" t="s">
        <v>219</v>
      </c>
      <c r="B48" s="15" t="s">
        <v>211</v>
      </c>
      <c r="C48" s="16" t="s">
        <v>212</v>
      </c>
      <c r="D48" s="16" t="s">
        <v>220</v>
      </c>
      <c r="E48" s="17" t="s">
        <v>154</v>
      </c>
      <c r="F48" s="18" t="n">
        <v>45</v>
      </c>
      <c r="G48" s="19" t="n">
        <f aca="false">F48*Assumptions!$B$7</f>
        <v>56.25</v>
      </c>
      <c r="H48" s="17" t="n">
        <v>7</v>
      </c>
      <c r="I48" s="17" t="n">
        <v>7</v>
      </c>
      <c r="J48" s="15" t="n">
        <f aca="false">I48-H48+1</f>
        <v>1</v>
      </c>
      <c r="K48" s="20" t="n">
        <f aca="false">IFERROR(F48/J48,0)</f>
        <v>45</v>
      </c>
      <c r="L48" s="17" t="s">
        <v>214</v>
      </c>
      <c r="M48" s="21" t="str">
        <f aca="false">IFERROR(INDEX(Releases!$A$5:$A$10,MATCH(I48-1,Releases!$E$5:$E$10,1)),"")</f>
        <v>R1.5 GA-2</v>
      </c>
      <c r="N48" s="16" t="s">
        <v>210</v>
      </c>
      <c r="O48" s="17" t="s">
        <v>102</v>
      </c>
      <c r="P48" s="22"/>
      <c r="Q48" s="16"/>
    </row>
    <row r="49" customFormat="false" ht="15" hidden="false" customHeight="false" outlineLevel="0" collapsed="false">
      <c r="A49" s="23" t="s">
        <v>221</v>
      </c>
      <c r="B49" s="24" t="s">
        <v>211</v>
      </c>
      <c r="C49" s="25" t="s">
        <v>212</v>
      </c>
      <c r="D49" s="25" t="s">
        <v>222</v>
      </c>
      <c r="E49" s="26" t="s">
        <v>154</v>
      </c>
      <c r="F49" s="27" t="n">
        <v>75</v>
      </c>
      <c r="G49" s="28" t="n">
        <f aca="false">F49*Assumptions!$B$7</f>
        <v>93.75</v>
      </c>
      <c r="H49" s="26" t="n">
        <v>7</v>
      </c>
      <c r="I49" s="26" t="n">
        <v>8</v>
      </c>
      <c r="J49" s="24" t="n">
        <f aca="false">I49-H49+1</f>
        <v>2</v>
      </c>
      <c r="K49" s="13" t="n">
        <f aca="false">IFERROR(F49/J49,0)</f>
        <v>37.5</v>
      </c>
      <c r="L49" s="26" t="s">
        <v>214</v>
      </c>
      <c r="M49" s="29" t="str">
        <f aca="false">IFERROR(INDEX(Releases!$A$5:$A$10,MATCH(I49-1,Releases!$E$5:$E$10,1)),"")</f>
        <v>R1.5 GA-2</v>
      </c>
      <c r="N49" s="25" t="s">
        <v>217</v>
      </c>
      <c r="O49" s="26" t="s">
        <v>102</v>
      </c>
      <c r="P49" s="30"/>
      <c r="Q49" s="25"/>
    </row>
    <row r="50" customFormat="false" ht="15" hidden="false" customHeight="false" outlineLevel="0" collapsed="false">
      <c r="A50" s="14" t="s">
        <v>223</v>
      </c>
      <c r="B50" s="15" t="s">
        <v>211</v>
      </c>
      <c r="C50" s="16" t="s">
        <v>212</v>
      </c>
      <c r="D50" s="16" t="s">
        <v>224</v>
      </c>
      <c r="E50" s="17" t="s">
        <v>154</v>
      </c>
      <c r="F50" s="18" t="n">
        <v>45</v>
      </c>
      <c r="G50" s="19" t="n">
        <f aca="false">F50*Assumptions!$B$7</f>
        <v>56.25</v>
      </c>
      <c r="H50" s="17" t="n">
        <v>8</v>
      </c>
      <c r="I50" s="17" t="n">
        <v>8</v>
      </c>
      <c r="J50" s="15" t="n">
        <f aca="false">I50-H50+1</f>
        <v>1</v>
      </c>
      <c r="K50" s="20" t="n">
        <f aca="false">IFERROR(F50/J50,0)</f>
        <v>45</v>
      </c>
      <c r="L50" s="17" t="s">
        <v>214</v>
      </c>
      <c r="M50" s="21" t="str">
        <f aca="false">IFERROR(INDEX(Releases!$A$5:$A$10,MATCH(I50-1,Releases!$E$5:$E$10,1)),"")</f>
        <v>R1.5 GA-2</v>
      </c>
      <c r="N50" s="16" t="s">
        <v>210</v>
      </c>
      <c r="O50" s="17" t="s">
        <v>102</v>
      </c>
      <c r="P50" s="22"/>
      <c r="Q50" s="16"/>
    </row>
    <row r="51" customFormat="false" ht="15" hidden="false" customHeight="false" outlineLevel="0" collapsed="false">
      <c r="A51" s="23" t="s">
        <v>225</v>
      </c>
      <c r="B51" s="24" t="s">
        <v>211</v>
      </c>
      <c r="C51" s="25" t="s">
        <v>212</v>
      </c>
      <c r="D51" s="25" t="s">
        <v>226</v>
      </c>
      <c r="E51" s="26" t="s">
        <v>100</v>
      </c>
      <c r="F51" s="27" t="n">
        <v>35</v>
      </c>
      <c r="G51" s="28" t="n">
        <f aca="false">F51*Assumptions!$B$7</f>
        <v>43.75</v>
      </c>
      <c r="H51" s="26" t="n">
        <v>4</v>
      </c>
      <c r="I51" s="26" t="n">
        <v>4</v>
      </c>
      <c r="J51" s="24" t="n">
        <f aca="false">I51-H51+1</f>
        <v>1</v>
      </c>
      <c r="K51" s="13" t="n">
        <f aca="false">IFERROR(F51/J51,0)</f>
        <v>35</v>
      </c>
      <c r="L51" s="26" t="s">
        <v>214</v>
      </c>
      <c r="M51" s="29" t="str">
        <f aca="false">IFERROR(INDEX(Releases!$A$5:$A$10,MATCH(I51-1,Releases!$E$5:$E$10,1)),"")</f>
        <v>R0.5 Beta (MVP)</v>
      </c>
      <c r="N51" s="25" t="s">
        <v>210</v>
      </c>
      <c r="O51" s="26" t="s">
        <v>102</v>
      </c>
      <c r="P51" s="30"/>
      <c r="Q51" s="25"/>
    </row>
    <row r="52" customFormat="false" ht="15" hidden="false" customHeight="false" outlineLevel="0" collapsed="false">
      <c r="A52" s="14" t="s">
        <v>227</v>
      </c>
      <c r="B52" s="15" t="s">
        <v>228</v>
      </c>
      <c r="C52" s="16" t="s">
        <v>229</v>
      </c>
      <c r="D52" s="16" t="s">
        <v>230</v>
      </c>
      <c r="E52" s="17" t="s">
        <v>100</v>
      </c>
      <c r="F52" s="18" t="n">
        <v>50</v>
      </c>
      <c r="G52" s="19" t="n">
        <f aca="false">F52*Assumptions!$B$7</f>
        <v>62.5</v>
      </c>
      <c r="H52" s="17" t="n">
        <v>4</v>
      </c>
      <c r="I52" s="17" t="n">
        <v>5</v>
      </c>
      <c r="J52" s="15" t="n">
        <f aca="false">I52-H52+1</f>
        <v>2</v>
      </c>
      <c r="K52" s="20" t="n">
        <f aca="false">IFERROR(F52/J52,0)</f>
        <v>25</v>
      </c>
      <c r="L52" s="17" t="s">
        <v>122</v>
      </c>
      <c r="M52" s="21" t="str">
        <f aca="false">IFERROR(INDEX(Releases!$A$5:$A$10,MATCH(I52-1,Releases!$E$5:$E$10,1)),"")</f>
        <v>R1.0 GA-1</v>
      </c>
      <c r="N52" s="16" t="s">
        <v>120</v>
      </c>
      <c r="O52" s="17" t="s">
        <v>102</v>
      </c>
      <c r="P52" s="22"/>
      <c r="Q52" s="16"/>
    </row>
    <row r="53" customFormat="false" ht="15" hidden="false" customHeight="false" outlineLevel="0" collapsed="false">
      <c r="A53" s="23" t="s">
        <v>231</v>
      </c>
      <c r="B53" s="24" t="s">
        <v>228</v>
      </c>
      <c r="C53" s="25" t="s">
        <v>229</v>
      </c>
      <c r="D53" s="25" t="s">
        <v>232</v>
      </c>
      <c r="E53" s="26" t="s">
        <v>100</v>
      </c>
      <c r="F53" s="27" t="n">
        <v>70</v>
      </c>
      <c r="G53" s="28" t="n">
        <f aca="false">F53*Assumptions!$B$7</f>
        <v>87.5</v>
      </c>
      <c r="H53" s="26" t="n">
        <v>5</v>
      </c>
      <c r="I53" s="26" t="n">
        <v>5</v>
      </c>
      <c r="J53" s="24" t="n">
        <f aca="false">I53-H53+1</f>
        <v>1</v>
      </c>
      <c r="K53" s="13" t="n">
        <f aca="false">IFERROR(F53/J53,0)</f>
        <v>70</v>
      </c>
      <c r="L53" s="26" t="s">
        <v>214</v>
      </c>
      <c r="M53" s="29" t="str">
        <f aca="false">IFERROR(INDEX(Releases!$A$5:$A$10,MATCH(I53-1,Releases!$E$5:$E$10,1)),"")</f>
        <v>R1.0 GA-1</v>
      </c>
      <c r="N53" s="25" t="s">
        <v>227</v>
      </c>
      <c r="O53" s="26" t="s">
        <v>102</v>
      </c>
      <c r="P53" s="30"/>
      <c r="Q53" s="25"/>
    </row>
    <row r="54" customFormat="false" ht="15" hidden="false" customHeight="false" outlineLevel="0" collapsed="false">
      <c r="A54" s="14" t="s">
        <v>233</v>
      </c>
      <c r="B54" s="15" t="s">
        <v>228</v>
      </c>
      <c r="C54" s="16" t="s">
        <v>229</v>
      </c>
      <c r="D54" s="16" t="s">
        <v>234</v>
      </c>
      <c r="E54" s="17" t="s">
        <v>100</v>
      </c>
      <c r="F54" s="18" t="n">
        <v>30</v>
      </c>
      <c r="G54" s="19" t="n">
        <f aca="false">F54*Assumptions!$B$7</f>
        <v>37.5</v>
      </c>
      <c r="H54" s="17" t="n">
        <v>6</v>
      </c>
      <c r="I54" s="17" t="n">
        <v>6</v>
      </c>
      <c r="J54" s="15" t="n">
        <f aca="false">I54-H54+1</f>
        <v>1</v>
      </c>
      <c r="K54" s="20" t="n">
        <f aca="false">IFERROR(F54/J54,0)</f>
        <v>30</v>
      </c>
      <c r="L54" s="17" t="s">
        <v>214</v>
      </c>
      <c r="M54" s="21" t="str">
        <f aca="false">IFERROR(INDEX(Releases!$A$5:$A$10,MATCH(I54-1,Releases!$E$5:$E$10,1)),"")</f>
        <v>R1.0 GA-1</v>
      </c>
      <c r="N54" s="16" t="s">
        <v>231</v>
      </c>
      <c r="O54" s="17" t="s">
        <v>102</v>
      </c>
      <c r="P54" s="22"/>
      <c r="Q54" s="16"/>
    </row>
    <row r="55" customFormat="false" ht="15" hidden="false" customHeight="false" outlineLevel="0" collapsed="false">
      <c r="A55" s="23" t="s">
        <v>235</v>
      </c>
      <c r="B55" s="24" t="s">
        <v>228</v>
      </c>
      <c r="C55" s="25" t="s">
        <v>229</v>
      </c>
      <c r="D55" s="25" t="s">
        <v>236</v>
      </c>
      <c r="E55" s="26" t="s">
        <v>100</v>
      </c>
      <c r="F55" s="27" t="n">
        <v>60</v>
      </c>
      <c r="G55" s="28" t="n">
        <f aca="false">F55*Assumptions!$B$7</f>
        <v>75</v>
      </c>
      <c r="H55" s="26" t="n">
        <v>6</v>
      </c>
      <c r="I55" s="26" t="n">
        <v>6</v>
      </c>
      <c r="J55" s="24" t="n">
        <f aca="false">I55-H55+1</f>
        <v>1</v>
      </c>
      <c r="K55" s="13" t="n">
        <f aca="false">IFERROR(F55/J55,0)</f>
        <v>60</v>
      </c>
      <c r="L55" s="26" t="s">
        <v>128</v>
      </c>
      <c r="M55" s="29" t="str">
        <f aca="false">IFERROR(INDEX(Releases!$A$5:$A$10,MATCH(I55-1,Releases!$E$5:$E$10,1)),"")</f>
        <v>R1.0 GA-1</v>
      </c>
      <c r="N55" s="25" t="s">
        <v>231</v>
      </c>
      <c r="O55" s="26" t="s">
        <v>102</v>
      </c>
      <c r="P55" s="30"/>
      <c r="Q55" s="25"/>
    </row>
    <row r="56" customFormat="false" ht="15" hidden="false" customHeight="false" outlineLevel="0" collapsed="false">
      <c r="A56" s="14" t="s">
        <v>237</v>
      </c>
      <c r="B56" s="15" t="s">
        <v>228</v>
      </c>
      <c r="C56" s="16" t="s">
        <v>229</v>
      </c>
      <c r="D56" s="16" t="s">
        <v>238</v>
      </c>
      <c r="E56" s="17" t="s">
        <v>159</v>
      </c>
      <c r="F56" s="18" t="n">
        <v>15</v>
      </c>
      <c r="G56" s="19" t="n">
        <f aca="false">F56*Assumptions!$B$7</f>
        <v>18.75</v>
      </c>
      <c r="H56" s="17" t="n">
        <v>10</v>
      </c>
      <c r="I56" s="17" t="n">
        <v>10</v>
      </c>
      <c r="J56" s="15" t="n">
        <f aca="false">I56-H56+1</f>
        <v>1</v>
      </c>
      <c r="K56" s="20" t="n">
        <f aca="false">IFERROR(F56/J56,0)</f>
        <v>15</v>
      </c>
      <c r="L56" s="17" t="s">
        <v>214</v>
      </c>
      <c r="M56" s="21" t="str">
        <f aca="false">IFERROR(INDEX(Releases!$A$5:$A$10,MATCH(I56-1,Releases!$E$5:$E$10,1)),"")</f>
        <v>R2.0 GA-3</v>
      </c>
      <c r="N56" s="16" t="s">
        <v>231</v>
      </c>
      <c r="O56" s="17" t="s">
        <v>102</v>
      </c>
      <c r="P56" s="22"/>
      <c r="Q56" s="16" t="s">
        <v>239</v>
      </c>
    </row>
    <row r="57" customFormat="false" ht="15" hidden="false" customHeight="false" outlineLevel="0" collapsed="false">
      <c r="A57" s="23" t="s">
        <v>240</v>
      </c>
      <c r="B57" s="24" t="s">
        <v>228</v>
      </c>
      <c r="C57" s="25" t="s">
        <v>229</v>
      </c>
      <c r="D57" s="25" t="s">
        <v>241</v>
      </c>
      <c r="E57" s="26" t="s">
        <v>154</v>
      </c>
      <c r="F57" s="27" t="n">
        <v>45</v>
      </c>
      <c r="G57" s="28" t="n">
        <f aca="false">F57*Assumptions!$B$7</f>
        <v>56.25</v>
      </c>
      <c r="H57" s="26" t="n">
        <v>8</v>
      </c>
      <c r="I57" s="26" t="n">
        <v>8</v>
      </c>
      <c r="J57" s="24" t="n">
        <f aca="false">I57-H57+1</f>
        <v>1</v>
      </c>
      <c r="K57" s="13" t="n">
        <f aca="false">IFERROR(F57/J57,0)</f>
        <v>45</v>
      </c>
      <c r="L57" s="26" t="s">
        <v>214</v>
      </c>
      <c r="M57" s="29" t="str">
        <f aca="false">IFERROR(INDEX(Releases!$A$5:$A$10,MATCH(I57-1,Releases!$E$5:$E$10,1)),"")</f>
        <v>R1.5 GA-2</v>
      </c>
      <c r="N57" s="25" t="s">
        <v>242</v>
      </c>
      <c r="O57" s="26" t="s">
        <v>102</v>
      </c>
      <c r="P57" s="30"/>
      <c r="Q57" s="25"/>
    </row>
    <row r="58" customFormat="false" ht="23.85" hidden="false" customHeight="false" outlineLevel="0" collapsed="false">
      <c r="A58" s="14" t="s">
        <v>243</v>
      </c>
      <c r="B58" s="15" t="s">
        <v>244</v>
      </c>
      <c r="C58" s="16" t="s">
        <v>245</v>
      </c>
      <c r="D58" s="16" t="s">
        <v>246</v>
      </c>
      <c r="E58" s="17" t="s">
        <v>100</v>
      </c>
      <c r="F58" s="18" t="n">
        <v>80</v>
      </c>
      <c r="G58" s="19" t="n">
        <f aca="false">F58*Assumptions!$B$7</f>
        <v>100</v>
      </c>
      <c r="H58" s="17" t="n">
        <v>3</v>
      </c>
      <c r="I58" s="17" t="n">
        <v>3</v>
      </c>
      <c r="J58" s="15" t="n">
        <f aca="false">I58-H58+1</f>
        <v>1</v>
      </c>
      <c r="K58" s="20" t="n">
        <f aca="false">IFERROR(F58/J58,0)</f>
        <v>80</v>
      </c>
      <c r="L58" s="17" t="s">
        <v>214</v>
      </c>
      <c r="M58" s="21" t="str">
        <f aca="false">IFERROR(INDEX(Releases!$A$5:$A$10,MATCH(I58-1,Releases!$E$5:$E$10,1)),"")</f>
        <v>R0.5 Beta (MVP)</v>
      </c>
      <c r="N58" s="16" t="s">
        <v>144</v>
      </c>
      <c r="O58" s="17" t="s">
        <v>102</v>
      </c>
      <c r="P58" s="22"/>
      <c r="Q58" s="16"/>
    </row>
    <row r="59" customFormat="false" ht="23.85" hidden="false" customHeight="false" outlineLevel="0" collapsed="false">
      <c r="A59" s="23" t="s">
        <v>247</v>
      </c>
      <c r="B59" s="24" t="s">
        <v>244</v>
      </c>
      <c r="C59" s="25" t="s">
        <v>245</v>
      </c>
      <c r="D59" s="25" t="s">
        <v>248</v>
      </c>
      <c r="E59" s="26" t="s">
        <v>100</v>
      </c>
      <c r="F59" s="27" t="n">
        <v>100</v>
      </c>
      <c r="G59" s="28" t="n">
        <f aca="false">F59*Assumptions!$B$7</f>
        <v>125</v>
      </c>
      <c r="H59" s="26" t="n">
        <v>3</v>
      </c>
      <c r="I59" s="26" t="n">
        <v>4</v>
      </c>
      <c r="J59" s="24" t="n">
        <f aca="false">I59-H59+1</f>
        <v>2</v>
      </c>
      <c r="K59" s="13" t="n">
        <f aca="false">IFERROR(F59/J59,0)</f>
        <v>50</v>
      </c>
      <c r="L59" s="26" t="s">
        <v>214</v>
      </c>
      <c r="M59" s="29" t="str">
        <f aca="false">IFERROR(INDEX(Releases!$A$5:$A$10,MATCH(I59-1,Releases!$E$5:$E$10,1)),"")</f>
        <v>R0.5 Beta (MVP)</v>
      </c>
      <c r="N59" s="25" t="s">
        <v>243</v>
      </c>
      <c r="O59" s="26" t="s">
        <v>102</v>
      </c>
      <c r="P59" s="30"/>
      <c r="Q59" s="25"/>
    </row>
    <row r="60" customFormat="false" ht="15" hidden="false" customHeight="false" outlineLevel="0" collapsed="false">
      <c r="A60" s="14" t="s">
        <v>249</v>
      </c>
      <c r="B60" s="15" t="s">
        <v>244</v>
      </c>
      <c r="C60" s="16" t="s">
        <v>245</v>
      </c>
      <c r="D60" s="16" t="s">
        <v>250</v>
      </c>
      <c r="E60" s="17" t="s">
        <v>154</v>
      </c>
      <c r="F60" s="18" t="n">
        <v>40</v>
      </c>
      <c r="G60" s="19" t="n">
        <f aca="false">F60*Assumptions!$B$7</f>
        <v>50</v>
      </c>
      <c r="H60" s="17" t="n">
        <v>10</v>
      </c>
      <c r="I60" s="17" t="n">
        <v>10</v>
      </c>
      <c r="J60" s="15" t="n">
        <f aca="false">I60-H60+1</f>
        <v>1</v>
      </c>
      <c r="K60" s="20" t="n">
        <f aca="false">IFERROR(F60/J60,0)</f>
        <v>40</v>
      </c>
      <c r="L60" s="17" t="s">
        <v>214</v>
      </c>
      <c r="M60" s="21" t="str">
        <f aca="false">IFERROR(INDEX(Releases!$A$5:$A$10,MATCH(I60-1,Releases!$E$5:$E$10,1)),"")</f>
        <v>R2.0 GA-3</v>
      </c>
      <c r="N60" s="16" t="s">
        <v>243</v>
      </c>
      <c r="O60" s="17" t="s">
        <v>102</v>
      </c>
      <c r="P60" s="22"/>
      <c r="Q60" s="16" t="s">
        <v>251</v>
      </c>
    </row>
    <row r="61" customFormat="false" ht="15" hidden="false" customHeight="false" outlineLevel="0" collapsed="false">
      <c r="A61" s="23" t="s">
        <v>252</v>
      </c>
      <c r="B61" s="24" t="s">
        <v>244</v>
      </c>
      <c r="C61" s="25" t="s">
        <v>245</v>
      </c>
      <c r="D61" s="25" t="s">
        <v>253</v>
      </c>
      <c r="E61" s="26" t="s">
        <v>100</v>
      </c>
      <c r="F61" s="27" t="n">
        <v>60</v>
      </c>
      <c r="G61" s="28" t="n">
        <f aca="false">F61*Assumptions!$B$7</f>
        <v>75</v>
      </c>
      <c r="H61" s="26" t="n">
        <v>7</v>
      </c>
      <c r="I61" s="26" t="n">
        <v>7</v>
      </c>
      <c r="J61" s="24" t="n">
        <f aca="false">I61-H61+1</f>
        <v>1</v>
      </c>
      <c r="K61" s="13" t="n">
        <f aca="false">IFERROR(F61/J61,0)</f>
        <v>60</v>
      </c>
      <c r="L61" s="26" t="s">
        <v>214</v>
      </c>
      <c r="M61" s="29" t="str">
        <f aca="false">IFERROR(INDEX(Releases!$A$5:$A$10,MATCH(I61-1,Releases!$E$5:$E$10,1)),"")</f>
        <v>R1.5 GA-2</v>
      </c>
      <c r="N61" s="25" t="s">
        <v>247</v>
      </c>
      <c r="O61" s="26" t="s">
        <v>102</v>
      </c>
      <c r="P61" s="30"/>
      <c r="Q61" s="25"/>
    </row>
    <row r="62" customFormat="false" ht="15" hidden="false" customHeight="false" outlineLevel="0" collapsed="false">
      <c r="A62" s="14" t="s">
        <v>254</v>
      </c>
      <c r="B62" s="15" t="s">
        <v>244</v>
      </c>
      <c r="C62" s="16" t="s">
        <v>245</v>
      </c>
      <c r="D62" s="16" t="s">
        <v>255</v>
      </c>
      <c r="E62" s="17" t="s">
        <v>100</v>
      </c>
      <c r="F62" s="18" t="n">
        <v>35</v>
      </c>
      <c r="G62" s="19" t="n">
        <f aca="false">F62*Assumptions!$B$7</f>
        <v>43.75</v>
      </c>
      <c r="H62" s="17" t="n">
        <v>7</v>
      </c>
      <c r="I62" s="17" t="n">
        <v>7</v>
      </c>
      <c r="J62" s="15" t="n">
        <f aca="false">I62-H62+1</f>
        <v>1</v>
      </c>
      <c r="K62" s="20" t="n">
        <f aca="false">IFERROR(F62/J62,0)</f>
        <v>35</v>
      </c>
      <c r="L62" s="17" t="s">
        <v>214</v>
      </c>
      <c r="M62" s="21" t="str">
        <f aca="false">IFERROR(INDEX(Releases!$A$5:$A$10,MATCH(I62-1,Releases!$E$5:$E$10,1)),"")</f>
        <v>R1.5 GA-2</v>
      </c>
      <c r="N62" s="16" t="s">
        <v>243</v>
      </c>
      <c r="O62" s="17" t="s">
        <v>102</v>
      </c>
      <c r="P62" s="22"/>
      <c r="Q62" s="16"/>
    </row>
    <row r="63" customFormat="false" ht="23.85" hidden="false" customHeight="false" outlineLevel="0" collapsed="false">
      <c r="A63" s="23" t="s">
        <v>256</v>
      </c>
      <c r="B63" s="24" t="s">
        <v>244</v>
      </c>
      <c r="C63" s="25" t="s">
        <v>245</v>
      </c>
      <c r="D63" s="25" t="s">
        <v>257</v>
      </c>
      <c r="E63" s="26" t="s">
        <v>100</v>
      </c>
      <c r="F63" s="27" t="n">
        <v>90</v>
      </c>
      <c r="G63" s="28" t="n">
        <f aca="false">F63*Assumptions!$B$7</f>
        <v>112.5</v>
      </c>
      <c r="H63" s="26" t="n">
        <v>4</v>
      </c>
      <c r="I63" s="26" t="n">
        <v>7</v>
      </c>
      <c r="J63" s="24" t="n">
        <f aca="false">I63-H63+1</f>
        <v>4</v>
      </c>
      <c r="K63" s="13" t="n">
        <f aca="false">IFERROR(F63/J63,0)</f>
        <v>22.5</v>
      </c>
      <c r="L63" s="26" t="s">
        <v>214</v>
      </c>
      <c r="M63" s="29" t="str">
        <f aca="false">IFERROR(INDEX(Releases!$A$5:$A$10,MATCH(I63-1,Releases!$E$5:$E$10,1)),"")</f>
        <v>R1.5 GA-2</v>
      </c>
      <c r="N63" s="25" t="s">
        <v>170</v>
      </c>
      <c r="O63" s="26" t="s">
        <v>102</v>
      </c>
      <c r="P63" s="30"/>
      <c r="Q63" s="25" t="s">
        <v>258</v>
      </c>
    </row>
    <row r="64" customFormat="false" ht="15" hidden="false" customHeight="false" outlineLevel="0" collapsed="false">
      <c r="A64" s="14" t="s">
        <v>259</v>
      </c>
      <c r="B64" s="15" t="s">
        <v>244</v>
      </c>
      <c r="C64" s="16" t="s">
        <v>245</v>
      </c>
      <c r="D64" s="16" t="s">
        <v>260</v>
      </c>
      <c r="E64" s="17" t="s">
        <v>159</v>
      </c>
      <c r="F64" s="18" t="n">
        <v>110</v>
      </c>
      <c r="G64" s="19" t="n">
        <f aca="false">F64*Assumptions!$B$7</f>
        <v>137.5</v>
      </c>
      <c r="H64" s="17" t="n">
        <v>9</v>
      </c>
      <c r="I64" s="17" t="n">
        <v>10</v>
      </c>
      <c r="J64" s="15" t="n">
        <f aca="false">I64-H64+1</f>
        <v>2</v>
      </c>
      <c r="K64" s="20" t="n">
        <f aca="false">IFERROR(F64/J64,0)</f>
        <v>55</v>
      </c>
      <c r="L64" s="17" t="s">
        <v>214</v>
      </c>
      <c r="M64" s="21" t="str">
        <f aca="false">IFERROR(INDEX(Releases!$A$5:$A$10,MATCH(I64-1,Releases!$E$5:$E$10,1)),"")</f>
        <v>R2.0 GA-3</v>
      </c>
      <c r="N64" s="16" t="s">
        <v>182</v>
      </c>
      <c r="O64" s="17" t="s">
        <v>102</v>
      </c>
      <c r="P64" s="22"/>
      <c r="Q64" s="16" t="s">
        <v>261</v>
      </c>
    </row>
    <row r="65" customFormat="false" ht="15" hidden="false" customHeight="false" outlineLevel="0" collapsed="false">
      <c r="A65" s="23" t="s">
        <v>262</v>
      </c>
      <c r="B65" s="24" t="s">
        <v>244</v>
      </c>
      <c r="C65" s="25" t="s">
        <v>245</v>
      </c>
      <c r="D65" s="25" t="s">
        <v>263</v>
      </c>
      <c r="E65" s="26" t="s">
        <v>159</v>
      </c>
      <c r="F65" s="27" t="n">
        <v>40</v>
      </c>
      <c r="G65" s="28" t="n">
        <f aca="false">F65*Assumptions!$B$7</f>
        <v>50</v>
      </c>
      <c r="H65" s="26" t="n">
        <v>10</v>
      </c>
      <c r="I65" s="26" t="n">
        <v>10</v>
      </c>
      <c r="J65" s="24" t="n">
        <f aca="false">I65-H65+1</f>
        <v>1</v>
      </c>
      <c r="K65" s="13" t="n">
        <f aca="false">IFERROR(F65/J65,0)</f>
        <v>40</v>
      </c>
      <c r="L65" s="26" t="s">
        <v>214</v>
      </c>
      <c r="M65" s="29" t="str">
        <f aca="false">IFERROR(INDEX(Releases!$A$5:$A$10,MATCH(I65-1,Releases!$E$5:$E$10,1)),"")</f>
        <v>R2.0 GA-3</v>
      </c>
      <c r="N65" s="25" t="s">
        <v>170</v>
      </c>
      <c r="O65" s="26" t="s">
        <v>102</v>
      </c>
      <c r="P65" s="30"/>
      <c r="Q65" s="25" t="s">
        <v>264</v>
      </c>
    </row>
    <row r="66" customFormat="false" ht="15" hidden="false" customHeight="false" outlineLevel="0" collapsed="false">
      <c r="A66" s="14" t="s">
        <v>265</v>
      </c>
      <c r="B66" s="15" t="s">
        <v>244</v>
      </c>
      <c r="C66" s="16" t="s">
        <v>245</v>
      </c>
      <c r="D66" s="16" t="s">
        <v>266</v>
      </c>
      <c r="E66" s="17" t="s">
        <v>154</v>
      </c>
      <c r="F66" s="18" t="n">
        <v>60</v>
      </c>
      <c r="G66" s="19" t="n">
        <f aca="false">F66*Assumptions!$B$7</f>
        <v>75</v>
      </c>
      <c r="H66" s="17" t="n">
        <v>9</v>
      </c>
      <c r="I66" s="17" t="n">
        <v>9</v>
      </c>
      <c r="J66" s="15" t="n">
        <f aca="false">I66-H66+1</f>
        <v>1</v>
      </c>
      <c r="K66" s="20" t="n">
        <f aca="false">IFERROR(F66/J66,0)</f>
        <v>60</v>
      </c>
      <c r="L66" s="17" t="s">
        <v>214</v>
      </c>
      <c r="M66" s="21" t="str">
        <f aca="false">IFERROR(INDEX(Releases!$A$5:$A$10,MATCH(I66-1,Releases!$E$5:$E$10,1)),"")</f>
        <v>R2.0 GA-3</v>
      </c>
      <c r="N66" s="16" t="s">
        <v>252</v>
      </c>
      <c r="O66" s="17" t="s">
        <v>102</v>
      </c>
      <c r="P66" s="22"/>
      <c r="Q66" s="16"/>
    </row>
    <row r="67" customFormat="false" ht="15" hidden="false" customHeight="false" outlineLevel="0" collapsed="false">
      <c r="A67" s="23" t="s">
        <v>267</v>
      </c>
      <c r="B67" s="24" t="s">
        <v>244</v>
      </c>
      <c r="C67" s="25" t="s">
        <v>245</v>
      </c>
      <c r="D67" s="25" t="s">
        <v>268</v>
      </c>
      <c r="E67" s="26" t="s">
        <v>100</v>
      </c>
      <c r="F67" s="27" t="n">
        <v>35</v>
      </c>
      <c r="G67" s="28" t="n">
        <f aca="false">F67*Assumptions!$B$7</f>
        <v>43.75</v>
      </c>
      <c r="H67" s="26" t="n">
        <v>6</v>
      </c>
      <c r="I67" s="26" t="n">
        <v>6</v>
      </c>
      <c r="J67" s="24" t="n">
        <f aca="false">I67-H67+1</f>
        <v>1</v>
      </c>
      <c r="K67" s="13" t="n">
        <f aca="false">IFERROR(F67/J67,0)</f>
        <v>35</v>
      </c>
      <c r="L67" s="26" t="s">
        <v>128</v>
      </c>
      <c r="M67" s="29" t="str">
        <f aca="false">IFERROR(INDEX(Releases!$A$5:$A$10,MATCH(I67-1,Releases!$E$5:$E$10,1)),"")</f>
        <v>R1.0 GA-1</v>
      </c>
      <c r="N67" s="25" t="s">
        <v>247</v>
      </c>
      <c r="O67" s="26" t="s">
        <v>102</v>
      </c>
      <c r="P67" s="30"/>
      <c r="Q67" s="25"/>
    </row>
    <row r="68" customFormat="false" ht="15" hidden="false" customHeight="false" outlineLevel="0" collapsed="false">
      <c r="A68" s="14" t="s">
        <v>269</v>
      </c>
      <c r="B68" s="15" t="s">
        <v>270</v>
      </c>
      <c r="C68" s="16" t="s">
        <v>271</v>
      </c>
      <c r="D68" s="16" t="s">
        <v>272</v>
      </c>
      <c r="E68" s="17" t="s">
        <v>100</v>
      </c>
      <c r="F68" s="18" t="n">
        <v>60</v>
      </c>
      <c r="G68" s="19" t="n">
        <f aca="false">F68*Assumptions!$B$7</f>
        <v>75</v>
      </c>
      <c r="H68" s="17" t="n">
        <v>4</v>
      </c>
      <c r="I68" s="17" t="n">
        <v>5</v>
      </c>
      <c r="J68" s="15" t="n">
        <f aca="false">I68-H68+1</f>
        <v>2</v>
      </c>
      <c r="K68" s="20" t="n">
        <f aca="false">IFERROR(F68/J68,0)</f>
        <v>30</v>
      </c>
      <c r="L68" s="17" t="s">
        <v>122</v>
      </c>
      <c r="M68" s="21" t="str">
        <f aca="false">IFERROR(INDEX(Releases!$A$5:$A$10,MATCH(I68-1,Releases!$E$5:$E$10,1)),"")</f>
        <v>R1.0 GA-1</v>
      </c>
      <c r="N68" s="16" t="s">
        <v>144</v>
      </c>
      <c r="O68" s="17" t="s">
        <v>102</v>
      </c>
      <c r="P68" s="22"/>
      <c r="Q68" s="16"/>
    </row>
    <row r="69" customFormat="false" ht="15" hidden="false" customHeight="false" outlineLevel="0" collapsed="false">
      <c r="A69" s="23" t="s">
        <v>273</v>
      </c>
      <c r="B69" s="24" t="s">
        <v>270</v>
      </c>
      <c r="C69" s="25" t="s">
        <v>271</v>
      </c>
      <c r="D69" s="25" t="s">
        <v>274</v>
      </c>
      <c r="E69" s="26" t="s">
        <v>100</v>
      </c>
      <c r="F69" s="27" t="n">
        <v>30</v>
      </c>
      <c r="G69" s="28" t="n">
        <f aca="false">F69*Assumptions!$B$7</f>
        <v>37.5</v>
      </c>
      <c r="H69" s="26" t="n">
        <v>4</v>
      </c>
      <c r="I69" s="26" t="n">
        <v>5</v>
      </c>
      <c r="J69" s="24" t="n">
        <f aca="false">I69-H69+1</f>
        <v>2</v>
      </c>
      <c r="K69" s="13" t="n">
        <f aca="false">IFERROR(F69/J69,0)</f>
        <v>15</v>
      </c>
      <c r="L69" s="26" t="s">
        <v>122</v>
      </c>
      <c r="M69" s="29" t="str">
        <f aca="false">IFERROR(INDEX(Releases!$A$5:$A$10,MATCH(I69-1,Releases!$E$5:$E$10,1)),"")</f>
        <v>R1.0 GA-1</v>
      </c>
      <c r="N69" s="25" t="s">
        <v>269</v>
      </c>
      <c r="O69" s="26" t="s">
        <v>102</v>
      </c>
      <c r="P69" s="30"/>
      <c r="Q69" s="25"/>
    </row>
    <row r="70" customFormat="false" ht="15" hidden="false" customHeight="false" outlineLevel="0" collapsed="false">
      <c r="A70" s="14" t="s">
        <v>275</v>
      </c>
      <c r="B70" s="15" t="s">
        <v>270</v>
      </c>
      <c r="C70" s="16" t="s">
        <v>271</v>
      </c>
      <c r="D70" s="16" t="s">
        <v>276</v>
      </c>
      <c r="E70" s="17" t="s">
        <v>100</v>
      </c>
      <c r="F70" s="18" t="n">
        <v>50</v>
      </c>
      <c r="G70" s="19" t="n">
        <f aca="false">F70*Assumptions!$B$7</f>
        <v>62.5</v>
      </c>
      <c r="H70" s="17" t="n">
        <v>4</v>
      </c>
      <c r="I70" s="17" t="n">
        <v>5</v>
      </c>
      <c r="J70" s="15" t="n">
        <f aca="false">I70-H70+1</f>
        <v>2</v>
      </c>
      <c r="K70" s="20" t="n">
        <f aca="false">IFERROR(F70/J70,0)</f>
        <v>25</v>
      </c>
      <c r="L70" s="17" t="s">
        <v>122</v>
      </c>
      <c r="M70" s="21" t="str">
        <f aca="false">IFERROR(INDEX(Releases!$A$5:$A$10,MATCH(I70-1,Releases!$E$5:$E$10,1)),"")</f>
        <v>R1.0 GA-1</v>
      </c>
      <c r="N70" s="16" t="s">
        <v>144</v>
      </c>
      <c r="O70" s="17" t="s">
        <v>102</v>
      </c>
      <c r="P70" s="22"/>
      <c r="Q70" s="16"/>
    </row>
    <row r="71" customFormat="false" ht="15" hidden="false" customHeight="false" outlineLevel="0" collapsed="false">
      <c r="A71" s="23" t="s">
        <v>277</v>
      </c>
      <c r="B71" s="24" t="s">
        <v>270</v>
      </c>
      <c r="C71" s="25" t="s">
        <v>271</v>
      </c>
      <c r="D71" s="25" t="s">
        <v>278</v>
      </c>
      <c r="E71" s="26" t="s">
        <v>100</v>
      </c>
      <c r="F71" s="27" t="n">
        <v>25</v>
      </c>
      <c r="G71" s="28" t="n">
        <f aca="false">F71*Assumptions!$B$7</f>
        <v>31.25</v>
      </c>
      <c r="H71" s="26" t="n">
        <v>5</v>
      </c>
      <c r="I71" s="26" t="n">
        <v>5</v>
      </c>
      <c r="J71" s="24" t="n">
        <f aca="false">I71-H71+1</f>
        <v>1</v>
      </c>
      <c r="K71" s="13" t="n">
        <f aca="false">IFERROR(F71/J71,0)</f>
        <v>25</v>
      </c>
      <c r="L71" s="26" t="s">
        <v>122</v>
      </c>
      <c r="M71" s="29" t="str">
        <f aca="false">IFERROR(INDEX(Releases!$A$5:$A$10,MATCH(I71-1,Releases!$E$5:$E$10,1)),"")</f>
        <v>R1.0 GA-1</v>
      </c>
      <c r="N71" s="25" t="s">
        <v>124</v>
      </c>
      <c r="O71" s="26" t="s">
        <v>102</v>
      </c>
      <c r="P71" s="30"/>
      <c r="Q71" s="25"/>
    </row>
    <row r="72" customFormat="false" ht="15" hidden="false" customHeight="false" outlineLevel="0" collapsed="false">
      <c r="A72" s="14" t="s">
        <v>279</v>
      </c>
      <c r="B72" s="15" t="s">
        <v>270</v>
      </c>
      <c r="C72" s="16" t="s">
        <v>271</v>
      </c>
      <c r="D72" s="16" t="s">
        <v>280</v>
      </c>
      <c r="E72" s="17" t="s">
        <v>154</v>
      </c>
      <c r="F72" s="18" t="n">
        <v>45</v>
      </c>
      <c r="G72" s="19" t="n">
        <f aca="false">F72*Assumptions!$B$7</f>
        <v>56.25</v>
      </c>
      <c r="H72" s="17" t="n">
        <v>6</v>
      </c>
      <c r="I72" s="17" t="n">
        <v>6</v>
      </c>
      <c r="J72" s="15" t="n">
        <f aca="false">I72-H72+1</f>
        <v>1</v>
      </c>
      <c r="K72" s="20" t="n">
        <f aca="false">IFERROR(F72/J72,0)</f>
        <v>45</v>
      </c>
      <c r="L72" s="17" t="s">
        <v>122</v>
      </c>
      <c r="M72" s="21" t="str">
        <f aca="false">IFERROR(INDEX(Releases!$A$5:$A$10,MATCH(I72-1,Releases!$E$5:$E$10,1)),"")</f>
        <v>R1.0 GA-1</v>
      </c>
      <c r="N72" s="16" t="s">
        <v>132</v>
      </c>
      <c r="O72" s="17" t="s">
        <v>102</v>
      </c>
      <c r="P72" s="22"/>
      <c r="Q72" s="16"/>
    </row>
    <row r="73" customFormat="false" ht="15" hidden="false" customHeight="false" outlineLevel="0" collapsed="false">
      <c r="A73" s="23" t="s">
        <v>281</v>
      </c>
      <c r="B73" s="24" t="s">
        <v>270</v>
      </c>
      <c r="C73" s="25" t="s">
        <v>271</v>
      </c>
      <c r="D73" s="25" t="s">
        <v>282</v>
      </c>
      <c r="E73" s="26" t="s">
        <v>154</v>
      </c>
      <c r="F73" s="27" t="n">
        <v>50</v>
      </c>
      <c r="G73" s="28" t="n">
        <f aca="false">F73*Assumptions!$B$7</f>
        <v>62.5</v>
      </c>
      <c r="H73" s="26" t="n">
        <v>8</v>
      </c>
      <c r="I73" s="26" t="n">
        <v>8</v>
      </c>
      <c r="J73" s="24" t="n">
        <f aca="false">I73-H73+1</f>
        <v>1</v>
      </c>
      <c r="K73" s="13" t="n">
        <f aca="false">IFERROR(F73/J73,0)</f>
        <v>50</v>
      </c>
      <c r="L73" s="26" t="s">
        <v>116</v>
      </c>
      <c r="M73" s="29" t="str">
        <f aca="false">IFERROR(INDEX(Releases!$A$5:$A$10,MATCH(I73-1,Releases!$E$5:$E$10,1)),"")</f>
        <v>R1.5 GA-2</v>
      </c>
      <c r="N73" s="25" t="s">
        <v>132</v>
      </c>
      <c r="O73" s="26" t="s">
        <v>102</v>
      </c>
      <c r="P73" s="30"/>
      <c r="Q73" s="25"/>
    </row>
    <row r="74" customFormat="false" ht="15" hidden="false" customHeight="false" outlineLevel="0" collapsed="false">
      <c r="A74" s="14" t="s">
        <v>283</v>
      </c>
      <c r="B74" s="15" t="s">
        <v>270</v>
      </c>
      <c r="C74" s="16" t="s">
        <v>271</v>
      </c>
      <c r="D74" s="16" t="s">
        <v>284</v>
      </c>
      <c r="E74" s="17" t="s">
        <v>100</v>
      </c>
      <c r="F74" s="18" t="n">
        <v>35</v>
      </c>
      <c r="G74" s="19" t="n">
        <f aca="false">F74*Assumptions!$B$7</f>
        <v>43.75</v>
      </c>
      <c r="H74" s="17" t="n">
        <v>9</v>
      </c>
      <c r="I74" s="17" t="n">
        <v>9</v>
      </c>
      <c r="J74" s="15" t="n">
        <f aca="false">I74-H74+1</f>
        <v>1</v>
      </c>
      <c r="K74" s="20" t="n">
        <f aca="false">IFERROR(F74/J74,0)</f>
        <v>35</v>
      </c>
      <c r="L74" s="17" t="s">
        <v>122</v>
      </c>
      <c r="M74" s="21" t="str">
        <f aca="false">IFERROR(INDEX(Releases!$A$5:$A$10,MATCH(I74-1,Releases!$E$5:$E$10,1)),"")</f>
        <v>R2.0 GA-3</v>
      </c>
      <c r="N74" s="16" t="s">
        <v>132</v>
      </c>
      <c r="O74" s="17" t="s">
        <v>102</v>
      </c>
      <c r="P74" s="22"/>
      <c r="Q74" s="16"/>
    </row>
    <row r="75" customFormat="false" ht="23.85" hidden="false" customHeight="false" outlineLevel="0" collapsed="false">
      <c r="A75" s="23" t="s">
        <v>285</v>
      </c>
      <c r="B75" s="24" t="s">
        <v>270</v>
      </c>
      <c r="C75" s="25" t="s">
        <v>271</v>
      </c>
      <c r="D75" s="25" t="s">
        <v>286</v>
      </c>
      <c r="E75" s="26" t="s">
        <v>154</v>
      </c>
      <c r="F75" s="27" t="n">
        <v>85</v>
      </c>
      <c r="G75" s="28" t="n">
        <f aca="false">F75*Assumptions!$B$7</f>
        <v>106.25</v>
      </c>
      <c r="H75" s="26" t="n">
        <v>7</v>
      </c>
      <c r="I75" s="26" t="n">
        <v>8</v>
      </c>
      <c r="J75" s="24" t="n">
        <f aca="false">I75-H75+1</f>
        <v>2</v>
      </c>
      <c r="K75" s="13" t="n">
        <f aca="false">IFERROR(F75/J75,0)</f>
        <v>42.5</v>
      </c>
      <c r="L75" s="26" t="s">
        <v>116</v>
      </c>
      <c r="M75" s="29" t="str">
        <f aca="false">IFERROR(INDEX(Releases!$A$5:$A$10,MATCH(I75-1,Releases!$E$5:$E$10,1)),"")</f>
        <v>R1.5 GA-2</v>
      </c>
      <c r="N75" s="25" t="s">
        <v>142</v>
      </c>
      <c r="O75" s="26" t="s">
        <v>102</v>
      </c>
      <c r="P75" s="30"/>
      <c r="Q75" s="25"/>
    </row>
    <row r="76" customFormat="false" ht="15" hidden="false" customHeight="false" outlineLevel="0" collapsed="false">
      <c r="A76" s="14" t="s">
        <v>287</v>
      </c>
      <c r="B76" s="15" t="s">
        <v>270</v>
      </c>
      <c r="C76" s="16" t="s">
        <v>271</v>
      </c>
      <c r="D76" s="16" t="s">
        <v>288</v>
      </c>
      <c r="E76" s="17" t="s">
        <v>159</v>
      </c>
      <c r="F76" s="18" t="n">
        <v>40</v>
      </c>
      <c r="G76" s="19" t="n">
        <f aca="false">F76*Assumptions!$B$7</f>
        <v>50</v>
      </c>
      <c r="H76" s="17" t="n">
        <v>10</v>
      </c>
      <c r="I76" s="17" t="n">
        <v>10</v>
      </c>
      <c r="J76" s="15" t="n">
        <f aca="false">I76-H76+1</f>
        <v>1</v>
      </c>
      <c r="K76" s="20" t="n">
        <f aca="false">IFERROR(F76/J76,0)</f>
        <v>40</v>
      </c>
      <c r="L76" s="17" t="s">
        <v>116</v>
      </c>
      <c r="M76" s="21" t="str">
        <f aca="false">IFERROR(INDEX(Releases!$A$5:$A$10,MATCH(I76-1,Releases!$E$5:$E$10,1)),"")</f>
        <v>R2.0 GA-3</v>
      </c>
      <c r="N76" s="16" t="s">
        <v>210</v>
      </c>
      <c r="O76" s="17" t="s">
        <v>102</v>
      </c>
      <c r="P76" s="22"/>
      <c r="Q76" s="16" t="s">
        <v>289</v>
      </c>
    </row>
    <row r="77" customFormat="false" ht="23.85" hidden="false" customHeight="false" outlineLevel="0" collapsed="false">
      <c r="A77" s="23" t="s">
        <v>290</v>
      </c>
      <c r="B77" s="24" t="s">
        <v>270</v>
      </c>
      <c r="C77" s="25" t="s">
        <v>271</v>
      </c>
      <c r="D77" s="25" t="s">
        <v>291</v>
      </c>
      <c r="E77" s="26" t="s">
        <v>159</v>
      </c>
      <c r="F77" s="27" t="n">
        <v>130</v>
      </c>
      <c r="G77" s="28" t="n">
        <f aca="false">F77*Assumptions!$B$7</f>
        <v>162.5</v>
      </c>
      <c r="H77" s="26" t="n">
        <v>10</v>
      </c>
      <c r="I77" s="26" t="n">
        <v>11</v>
      </c>
      <c r="J77" s="24" t="n">
        <f aca="false">I77-H77+1</f>
        <v>2</v>
      </c>
      <c r="K77" s="13" t="n">
        <f aca="false">IFERROR(F77/J77,0)</f>
        <v>65</v>
      </c>
      <c r="L77" s="26" t="s">
        <v>116</v>
      </c>
      <c r="M77" s="29" t="str">
        <f aca="false">IFERROR(INDEX(Releases!$A$5:$A$10,MATCH(I77-1,Releases!$E$5:$E$10,1)),"")</f>
        <v>R2.5 GA-Final</v>
      </c>
      <c r="N77" s="25" t="s">
        <v>117</v>
      </c>
      <c r="O77" s="26" t="s">
        <v>102</v>
      </c>
      <c r="P77" s="30"/>
      <c r="Q77" s="25" t="s">
        <v>292</v>
      </c>
    </row>
    <row r="78" customFormat="false" ht="15" hidden="false" customHeight="false" outlineLevel="0" collapsed="false">
      <c r="A78" s="14" t="s">
        <v>293</v>
      </c>
      <c r="B78" s="15" t="s">
        <v>270</v>
      </c>
      <c r="C78" s="16" t="s">
        <v>271</v>
      </c>
      <c r="D78" s="16" t="s">
        <v>294</v>
      </c>
      <c r="E78" s="17" t="s">
        <v>154</v>
      </c>
      <c r="F78" s="18" t="n">
        <v>25</v>
      </c>
      <c r="G78" s="19" t="n">
        <f aca="false">F78*Assumptions!$B$7</f>
        <v>31.25</v>
      </c>
      <c r="H78" s="17" t="n">
        <v>7</v>
      </c>
      <c r="I78" s="17" t="n">
        <v>7</v>
      </c>
      <c r="J78" s="15" t="n">
        <f aca="false">I78-H78+1</f>
        <v>1</v>
      </c>
      <c r="K78" s="20" t="n">
        <f aca="false">IFERROR(F78/J78,0)</f>
        <v>25</v>
      </c>
      <c r="L78" s="17" t="s">
        <v>116</v>
      </c>
      <c r="M78" s="21" t="str">
        <f aca="false">IFERROR(INDEX(Releases!$A$5:$A$10,MATCH(I78-1,Releases!$E$5:$E$10,1)),"")</f>
        <v>R1.5 GA-2</v>
      </c>
      <c r="N78" s="16" t="s">
        <v>295</v>
      </c>
      <c r="O78" s="17" t="s">
        <v>102</v>
      </c>
      <c r="P78" s="22"/>
      <c r="Q78" s="16"/>
    </row>
    <row r="79" customFormat="false" ht="23.85" hidden="false" customHeight="false" outlineLevel="0" collapsed="false">
      <c r="A79" s="23" t="s">
        <v>296</v>
      </c>
      <c r="B79" s="24" t="s">
        <v>297</v>
      </c>
      <c r="C79" s="25" t="s">
        <v>298</v>
      </c>
      <c r="D79" s="25" t="s">
        <v>299</v>
      </c>
      <c r="E79" s="26" t="s">
        <v>100</v>
      </c>
      <c r="F79" s="27" t="n">
        <v>60</v>
      </c>
      <c r="G79" s="28" t="n">
        <f aca="false">F79*Assumptions!$B$7</f>
        <v>75</v>
      </c>
      <c r="H79" s="26" t="n">
        <v>3</v>
      </c>
      <c r="I79" s="26" t="n">
        <v>6</v>
      </c>
      <c r="J79" s="24" t="n">
        <f aca="false">I79-H79+1</f>
        <v>4</v>
      </c>
      <c r="K79" s="13" t="n">
        <f aca="false">IFERROR(F79/J79,0)</f>
        <v>15</v>
      </c>
      <c r="L79" s="26" t="s">
        <v>128</v>
      </c>
      <c r="M79" s="29" t="str">
        <f aca="false">IFERROR(INDEX(Releases!$A$5:$A$10,MATCH(I79-1,Releases!$E$5:$E$10,1)),"")</f>
        <v>R1.0 GA-1</v>
      </c>
      <c r="N79" s="25" t="s">
        <v>132</v>
      </c>
      <c r="O79" s="26" t="s">
        <v>102</v>
      </c>
      <c r="P79" s="30"/>
      <c r="Q79" s="25"/>
    </row>
    <row r="80" customFormat="false" ht="23.85" hidden="false" customHeight="false" outlineLevel="0" collapsed="false">
      <c r="A80" s="14" t="s">
        <v>295</v>
      </c>
      <c r="B80" s="15" t="s">
        <v>297</v>
      </c>
      <c r="C80" s="16" t="s">
        <v>298</v>
      </c>
      <c r="D80" s="16" t="s">
        <v>300</v>
      </c>
      <c r="E80" s="17" t="s">
        <v>100</v>
      </c>
      <c r="F80" s="18" t="n">
        <v>55</v>
      </c>
      <c r="G80" s="19" t="n">
        <f aca="false">F80*Assumptions!$B$7</f>
        <v>68.75</v>
      </c>
      <c r="H80" s="17" t="n">
        <v>7</v>
      </c>
      <c r="I80" s="17" t="n">
        <v>8</v>
      </c>
      <c r="J80" s="15" t="n">
        <f aca="false">I80-H80+1</f>
        <v>2</v>
      </c>
      <c r="K80" s="20" t="n">
        <f aca="false">IFERROR(F80/J80,0)</f>
        <v>27.5</v>
      </c>
      <c r="L80" s="17" t="s">
        <v>116</v>
      </c>
      <c r="M80" s="21" t="str">
        <f aca="false">IFERROR(INDEX(Releases!$A$5:$A$10,MATCH(I80-1,Releases!$E$5:$E$10,1)),"")</f>
        <v>R1.5 GA-2</v>
      </c>
      <c r="N80" s="16" t="s">
        <v>117</v>
      </c>
      <c r="O80" s="17" t="s">
        <v>102</v>
      </c>
      <c r="P80" s="22"/>
      <c r="Q80" s="16"/>
    </row>
    <row r="81" customFormat="false" ht="15" hidden="false" customHeight="false" outlineLevel="0" collapsed="false">
      <c r="A81" s="23" t="s">
        <v>301</v>
      </c>
      <c r="B81" s="24" t="s">
        <v>297</v>
      </c>
      <c r="C81" s="25" t="s">
        <v>298</v>
      </c>
      <c r="D81" s="25" t="s">
        <v>302</v>
      </c>
      <c r="E81" s="26" t="s">
        <v>100</v>
      </c>
      <c r="F81" s="27" t="n">
        <v>35</v>
      </c>
      <c r="G81" s="28" t="n">
        <f aca="false">F81*Assumptions!$B$7</f>
        <v>43.75</v>
      </c>
      <c r="H81" s="26" t="n">
        <v>6</v>
      </c>
      <c r="I81" s="26" t="n">
        <v>6</v>
      </c>
      <c r="J81" s="24" t="n">
        <f aca="false">I81-H81+1</f>
        <v>1</v>
      </c>
      <c r="K81" s="13" t="n">
        <f aca="false">IFERROR(F81/J81,0)</f>
        <v>35</v>
      </c>
      <c r="L81" s="26" t="s">
        <v>122</v>
      </c>
      <c r="M81" s="29" t="str">
        <f aca="false">IFERROR(INDEX(Releases!$A$5:$A$10,MATCH(I81-1,Releases!$E$5:$E$10,1)),"")</f>
        <v>R1.0 GA-1</v>
      </c>
      <c r="N81" s="25" t="s">
        <v>132</v>
      </c>
      <c r="O81" s="26" t="s">
        <v>102</v>
      </c>
      <c r="P81" s="30"/>
      <c r="Q81" s="25"/>
    </row>
    <row r="82" customFormat="false" ht="15" hidden="false" customHeight="false" outlineLevel="0" collapsed="false">
      <c r="A82" s="14" t="s">
        <v>303</v>
      </c>
      <c r="B82" s="15" t="s">
        <v>297</v>
      </c>
      <c r="C82" s="16" t="s">
        <v>298</v>
      </c>
      <c r="D82" s="16" t="s">
        <v>304</v>
      </c>
      <c r="E82" s="17" t="s">
        <v>100</v>
      </c>
      <c r="F82" s="18" t="n">
        <v>45</v>
      </c>
      <c r="G82" s="19" t="n">
        <f aca="false">F82*Assumptions!$B$7</f>
        <v>56.25</v>
      </c>
      <c r="H82" s="17" t="n">
        <v>4</v>
      </c>
      <c r="I82" s="17" t="n">
        <v>5</v>
      </c>
      <c r="J82" s="15" t="n">
        <f aca="false">I82-H82+1</f>
        <v>2</v>
      </c>
      <c r="K82" s="20" t="n">
        <f aca="false">IFERROR(F82/J82,0)</f>
        <v>22.5</v>
      </c>
      <c r="L82" s="17" t="s">
        <v>122</v>
      </c>
      <c r="M82" s="21" t="str">
        <f aca="false">IFERROR(INDEX(Releases!$A$5:$A$10,MATCH(I82-1,Releases!$E$5:$E$10,1)),"")</f>
        <v>R1.0 GA-1</v>
      </c>
      <c r="N82" s="16" t="s">
        <v>132</v>
      </c>
      <c r="O82" s="17" t="s">
        <v>102</v>
      </c>
      <c r="P82" s="22"/>
      <c r="Q82" s="16"/>
    </row>
    <row r="83" customFormat="false" ht="15" hidden="false" customHeight="false" outlineLevel="0" collapsed="false">
      <c r="A83" s="23" t="s">
        <v>305</v>
      </c>
      <c r="B83" s="24" t="s">
        <v>297</v>
      </c>
      <c r="C83" s="25" t="s">
        <v>298</v>
      </c>
      <c r="D83" s="25" t="s">
        <v>306</v>
      </c>
      <c r="E83" s="26" t="s">
        <v>100</v>
      </c>
      <c r="F83" s="27" t="n">
        <v>40</v>
      </c>
      <c r="G83" s="28" t="n">
        <f aca="false">F83*Assumptions!$B$7</f>
        <v>50</v>
      </c>
      <c r="H83" s="26" t="n">
        <v>5</v>
      </c>
      <c r="I83" s="26" t="n">
        <v>5</v>
      </c>
      <c r="J83" s="24" t="n">
        <f aca="false">I83-H83+1</f>
        <v>1</v>
      </c>
      <c r="K83" s="13" t="n">
        <f aca="false">IFERROR(F83/J83,0)</f>
        <v>40</v>
      </c>
      <c r="L83" s="26" t="s">
        <v>122</v>
      </c>
      <c r="M83" s="29" t="str">
        <f aca="false">IFERROR(INDEX(Releases!$A$5:$A$10,MATCH(I83-1,Releases!$E$5:$E$10,1)),"")</f>
        <v>R1.0 GA-1</v>
      </c>
      <c r="N83" s="25" t="s">
        <v>120</v>
      </c>
      <c r="O83" s="26" t="s">
        <v>102</v>
      </c>
      <c r="P83" s="30"/>
      <c r="Q83" s="25"/>
    </row>
    <row r="84" customFormat="false" ht="15" hidden="false" customHeight="false" outlineLevel="0" collapsed="false">
      <c r="A84" s="14" t="s">
        <v>307</v>
      </c>
      <c r="B84" s="15" t="s">
        <v>297</v>
      </c>
      <c r="C84" s="16" t="s">
        <v>298</v>
      </c>
      <c r="D84" s="16" t="s">
        <v>308</v>
      </c>
      <c r="E84" s="17" t="s">
        <v>100</v>
      </c>
      <c r="F84" s="18" t="n">
        <v>20</v>
      </c>
      <c r="G84" s="19" t="n">
        <f aca="false">F84*Assumptions!$B$7</f>
        <v>25</v>
      </c>
      <c r="H84" s="17" t="n">
        <v>9</v>
      </c>
      <c r="I84" s="17" t="n">
        <v>9</v>
      </c>
      <c r="J84" s="15" t="n">
        <f aca="false">I84-H84+1</f>
        <v>1</v>
      </c>
      <c r="K84" s="20" t="n">
        <f aca="false">IFERROR(F84/J84,0)</f>
        <v>20</v>
      </c>
      <c r="L84" s="17" t="s">
        <v>101</v>
      </c>
      <c r="M84" s="21" t="str">
        <f aca="false">IFERROR(INDEX(Releases!$A$5:$A$10,MATCH(I84-1,Releases!$E$5:$E$10,1)),"")</f>
        <v>R2.0 GA-3</v>
      </c>
      <c r="N84" s="16" t="s">
        <v>132</v>
      </c>
      <c r="O84" s="17" t="s">
        <v>102</v>
      </c>
      <c r="P84" s="22"/>
      <c r="Q84" s="16"/>
    </row>
    <row r="85" customFormat="false" ht="15" hidden="false" customHeight="false" outlineLevel="0" collapsed="false">
      <c r="A85" s="23" t="s">
        <v>309</v>
      </c>
      <c r="B85" s="24" t="s">
        <v>297</v>
      </c>
      <c r="C85" s="25" t="s">
        <v>298</v>
      </c>
      <c r="D85" s="25" t="s">
        <v>310</v>
      </c>
      <c r="E85" s="26" t="s">
        <v>100</v>
      </c>
      <c r="F85" s="27" t="n">
        <v>25</v>
      </c>
      <c r="G85" s="28" t="n">
        <f aca="false">F85*Assumptions!$B$7</f>
        <v>31.25</v>
      </c>
      <c r="H85" s="26" t="n">
        <v>6</v>
      </c>
      <c r="I85" s="26" t="n">
        <v>6</v>
      </c>
      <c r="J85" s="24" t="n">
        <f aca="false">I85-H85+1</f>
        <v>1</v>
      </c>
      <c r="K85" s="13" t="n">
        <f aca="false">IFERROR(F85/J85,0)</f>
        <v>25</v>
      </c>
      <c r="L85" s="26" t="s">
        <v>128</v>
      </c>
      <c r="M85" s="29" t="str">
        <f aca="false">IFERROR(INDEX(Releases!$A$5:$A$10,MATCH(I85-1,Releases!$E$5:$E$10,1)),"")</f>
        <v>R1.0 GA-1</v>
      </c>
      <c r="N85" s="25" t="s">
        <v>111</v>
      </c>
      <c r="O85" s="26" t="s">
        <v>102</v>
      </c>
      <c r="P85" s="30"/>
      <c r="Q85" s="25"/>
    </row>
    <row r="86" customFormat="false" ht="15" hidden="false" customHeight="false" outlineLevel="0" collapsed="false">
      <c r="A86" s="14" t="s">
        <v>311</v>
      </c>
      <c r="B86" s="15" t="s">
        <v>297</v>
      </c>
      <c r="C86" s="16" t="s">
        <v>298</v>
      </c>
      <c r="D86" s="16" t="s">
        <v>312</v>
      </c>
      <c r="E86" s="17" t="s">
        <v>154</v>
      </c>
      <c r="F86" s="18" t="n">
        <v>90</v>
      </c>
      <c r="G86" s="19" t="n">
        <f aca="false">F86*Assumptions!$B$7</f>
        <v>112.5</v>
      </c>
      <c r="H86" s="17" t="n">
        <v>7</v>
      </c>
      <c r="I86" s="17" t="n">
        <v>8</v>
      </c>
      <c r="J86" s="15" t="n">
        <f aca="false">I86-H86+1</f>
        <v>2</v>
      </c>
      <c r="K86" s="20" t="n">
        <f aca="false">IFERROR(F86/J86,0)</f>
        <v>45</v>
      </c>
      <c r="L86" s="17" t="s">
        <v>122</v>
      </c>
      <c r="M86" s="21" t="str">
        <f aca="false">IFERROR(INDEX(Releases!$A$5:$A$10,MATCH(I86-1,Releases!$E$5:$E$10,1)),"")</f>
        <v>R1.5 GA-2</v>
      </c>
      <c r="N86" s="16" t="s">
        <v>120</v>
      </c>
      <c r="O86" s="17" t="s">
        <v>102</v>
      </c>
      <c r="P86" s="22"/>
      <c r="Q86" s="16" t="s">
        <v>313</v>
      </c>
    </row>
    <row r="87" customFormat="false" ht="15" hidden="false" customHeight="false" outlineLevel="0" collapsed="false">
      <c r="A87" s="23" t="s">
        <v>314</v>
      </c>
      <c r="B87" s="24" t="s">
        <v>297</v>
      </c>
      <c r="C87" s="25" t="s">
        <v>298</v>
      </c>
      <c r="D87" s="25" t="s">
        <v>315</v>
      </c>
      <c r="E87" s="26" t="s">
        <v>154</v>
      </c>
      <c r="F87" s="27" t="n">
        <v>55</v>
      </c>
      <c r="G87" s="28" t="n">
        <f aca="false">F87*Assumptions!$B$7</f>
        <v>68.75</v>
      </c>
      <c r="H87" s="26" t="n">
        <v>10</v>
      </c>
      <c r="I87" s="26" t="n">
        <v>10</v>
      </c>
      <c r="J87" s="24" t="n">
        <f aca="false">I87-H87+1</f>
        <v>1</v>
      </c>
      <c r="K87" s="13" t="n">
        <f aca="false">IFERROR(F87/J87,0)</f>
        <v>55</v>
      </c>
      <c r="L87" s="26" t="s">
        <v>122</v>
      </c>
      <c r="M87" s="29" t="str">
        <f aca="false">IFERROR(INDEX(Releases!$A$5:$A$10,MATCH(I87-1,Releases!$E$5:$E$10,1)),"")</f>
        <v>R2.0 GA-3</v>
      </c>
      <c r="N87" s="25" t="s">
        <v>120</v>
      </c>
      <c r="O87" s="26" t="s">
        <v>102</v>
      </c>
      <c r="P87" s="30"/>
      <c r="Q87" s="25"/>
    </row>
    <row r="88" customFormat="false" ht="15" hidden="false" customHeight="false" outlineLevel="0" collapsed="false">
      <c r="A88" s="14" t="s">
        <v>316</v>
      </c>
      <c r="B88" s="15" t="s">
        <v>317</v>
      </c>
      <c r="C88" s="16" t="s">
        <v>318</v>
      </c>
      <c r="D88" s="16" t="s">
        <v>319</v>
      </c>
      <c r="E88" s="17" t="s">
        <v>100</v>
      </c>
      <c r="F88" s="18" t="n">
        <v>45</v>
      </c>
      <c r="G88" s="19" t="n">
        <f aca="false">F88*Assumptions!$B$7</f>
        <v>56.25</v>
      </c>
      <c r="H88" s="17" t="n">
        <v>6</v>
      </c>
      <c r="I88" s="17" t="n">
        <v>6</v>
      </c>
      <c r="J88" s="15" t="n">
        <f aca="false">I88-H88+1</f>
        <v>1</v>
      </c>
      <c r="K88" s="20" t="n">
        <f aca="false">IFERROR(F88/J88,0)</f>
        <v>45</v>
      </c>
      <c r="L88" s="17" t="s">
        <v>116</v>
      </c>
      <c r="M88" s="21" t="str">
        <f aca="false">IFERROR(INDEX(Releases!$A$5:$A$10,MATCH(I88-1,Releases!$E$5:$E$10,1)),"")</f>
        <v>R1.0 GA-1</v>
      </c>
      <c r="N88" s="16" t="s">
        <v>144</v>
      </c>
      <c r="O88" s="17" t="s">
        <v>102</v>
      </c>
      <c r="P88" s="22"/>
      <c r="Q88" s="16"/>
    </row>
    <row r="89" customFormat="false" ht="15" hidden="false" customHeight="false" outlineLevel="0" collapsed="false">
      <c r="A89" s="23" t="s">
        <v>242</v>
      </c>
      <c r="B89" s="24" t="s">
        <v>317</v>
      </c>
      <c r="C89" s="25" t="s">
        <v>318</v>
      </c>
      <c r="D89" s="25" t="s">
        <v>320</v>
      </c>
      <c r="E89" s="26" t="s">
        <v>100</v>
      </c>
      <c r="F89" s="27" t="n">
        <v>50</v>
      </c>
      <c r="G89" s="28" t="n">
        <f aca="false">F89*Assumptions!$B$7</f>
        <v>62.5</v>
      </c>
      <c r="H89" s="26" t="n">
        <v>6</v>
      </c>
      <c r="I89" s="26" t="n">
        <v>7</v>
      </c>
      <c r="J89" s="24" t="n">
        <f aca="false">I89-H89+1</f>
        <v>2</v>
      </c>
      <c r="K89" s="13" t="n">
        <f aca="false">IFERROR(F89/J89,0)</f>
        <v>25</v>
      </c>
      <c r="L89" s="26" t="s">
        <v>122</v>
      </c>
      <c r="M89" s="29" t="str">
        <f aca="false">IFERROR(INDEX(Releases!$A$5:$A$10,MATCH(I89-1,Releases!$E$5:$E$10,1)),"")</f>
        <v>R1.5 GA-2</v>
      </c>
      <c r="N89" s="25" t="s">
        <v>120</v>
      </c>
      <c r="O89" s="26" t="s">
        <v>102</v>
      </c>
      <c r="P89" s="30"/>
      <c r="Q89" s="25"/>
    </row>
    <row r="90" customFormat="false" ht="15" hidden="false" customHeight="false" outlineLevel="0" collapsed="false">
      <c r="A90" s="14" t="s">
        <v>321</v>
      </c>
      <c r="B90" s="15" t="s">
        <v>317</v>
      </c>
      <c r="C90" s="16" t="s">
        <v>318</v>
      </c>
      <c r="D90" s="16" t="s">
        <v>322</v>
      </c>
      <c r="E90" s="17" t="s">
        <v>154</v>
      </c>
      <c r="F90" s="18" t="n">
        <v>60</v>
      </c>
      <c r="G90" s="19" t="n">
        <f aca="false">F90*Assumptions!$B$7</f>
        <v>75</v>
      </c>
      <c r="H90" s="17" t="n">
        <v>8</v>
      </c>
      <c r="I90" s="17" t="n">
        <v>8</v>
      </c>
      <c r="J90" s="15" t="n">
        <f aca="false">I90-H90+1</f>
        <v>1</v>
      </c>
      <c r="K90" s="20" t="n">
        <f aca="false">IFERROR(F90/J90,0)</f>
        <v>60</v>
      </c>
      <c r="L90" s="17" t="s">
        <v>214</v>
      </c>
      <c r="M90" s="21" t="str">
        <f aca="false">IFERROR(INDEX(Releases!$A$5:$A$10,MATCH(I90-1,Releases!$E$5:$E$10,1)),"")</f>
        <v>R1.5 GA-2</v>
      </c>
      <c r="N90" s="16" t="s">
        <v>242</v>
      </c>
      <c r="O90" s="17" t="s">
        <v>102</v>
      </c>
      <c r="P90" s="22"/>
      <c r="Q90" s="16"/>
    </row>
    <row r="91" customFormat="false" ht="15" hidden="false" customHeight="false" outlineLevel="0" collapsed="false">
      <c r="A91" s="23" t="s">
        <v>323</v>
      </c>
      <c r="B91" s="24" t="s">
        <v>317</v>
      </c>
      <c r="C91" s="25" t="s">
        <v>318</v>
      </c>
      <c r="D91" s="25" t="s">
        <v>324</v>
      </c>
      <c r="E91" s="26" t="s">
        <v>100</v>
      </c>
      <c r="F91" s="27" t="n">
        <v>30</v>
      </c>
      <c r="G91" s="28" t="n">
        <f aca="false">F91*Assumptions!$B$7</f>
        <v>37.5</v>
      </c>
      <c r="H91" s="26" t="n">
        <v>8</v>
      </c>
      <c r="I91" s="26" t="n">
        <v>8</v>
      </c>
      <c r="J91" s="24" t="n">
        <f aca="false">I91-H91+1</f>
        <v>1</v>
      </c>
      <c r="K91" s="13" t="n">
        <f aca="false">IFERROR(F91/J91,0)</f>
        <v>30</v>
      </c>
      <c r="L91" s="26" t="s">
        <v>136</v>
      </c>
      <c r="M91" s="29" t="str">
        <f aca="false">IFERROR(INDEX(Releases!$A$5:$A$10,MATCH(I91-1,Releases!$E$5:$E$10,1)),"")</f>
        <v>R1.5 GA-2</v>
      </c>
      <c r="N91" s="25" t="s">
        <v>321</v>
      </c>
      <c r="O91" s="26" t="s">
        <v>102</v>
      </c>
      <c r="P91" s="30"/>
      <c r="Q91" s="25"/>
    </row>
    <row r="92" customFormat="false" ht="15" hidden="false" customHeight="false" outlineLevel="0" collapsed="false">
      <c r="A92" s="14" t="s">
        <v>325</v>
      </c>
      <c r="B92" s="15" t="s">
        <v>317</v>
      </c>
      <c r="C92" s="16" t="s">
        <v>318</v>
      </c>
      <c r="D92" s="16" t="s">
        <v>326</v>
      </c>
      <c r="E92" s="17" t="s">
        <v>154</v>
      </c>
      <c r="F92" s="18" t="n">
        <v>25</v>
      </c>
      <c r="G92" s="19" t="n">
        <f aca="false">F92*Assumptions!$B$7</f>
        <v>31.25</v>
      </c>
      <c r="H92" s="17" t="n">
        <v>8</v>
      </c>
      <c r="I92" s="17" t="n">
        <v>8</v>
      </c>
      <c r="J92" s="15" t="n">
        <f aca="false">I92-H92+1</f>
        <v>1</v>
      </c>
      <c r="K92" s="20" t="n">
        <f aca="false">IFERROR(F92/J92,0)</f>
        <v>25</v>
      </c>
      <c r="L92" s="17" t="s">
        <v>128</v>
      </c>
      <c r="M92" s="21" t="str">
        <f aca="false">IFERROR(INDEX(Releases!$A$5:$A$10,MATCH(I92-1,Releases!$E$5:$E$10,1)),"")</f>
        <v>R1.5 GA-2</v>
      </c>
      <c r="N92" s="16" t="s">
        <v>242</v>
      </c>
      <c r="O92" s="17" t="s">
        <v>102</v>
      </c>
      <c r="P92" s="22"/>
      <c r="Q92" s="16"/>
    </row>
    <row r="93" customFormat="false" ht="15" hidden="false" customHeight="false" outlineLevel="0" collapsed="false">
      <c r="A93" s="23" t="s">
        <v>327</v>
      </c>
      <c r="B93" s="24" t="s">
        <v>328</v>
      </c>
      <c r="C93" s="25" t="s">
        <v>329</v>
      </c>
      <c r="D93" s="25" t="s">
        <v>330</v>
      </c>
      <c r="E93" s="26" t="s">
        <v>154</v>
      </c>
      <c r="F93" s="27" t="n">
        <v>70</v>
      </c>
      <c r="G93" s="28" t="n">
        <f aca="false">F93*Assumptions!$B$7</f>
        <v>87.5</v>
      </c>
      <c r="H93" s="26" t="n">
        <v>10</v>
      </c>
      <c r="I93" s="26" t="n">
        <v>11</v>
      </c>
      <c r="J93" s="24" t="n">
        <f aca="false">I93-H93+1</f>
        <v>2</v>
      </c>
      <c r="K93" s="13" t="n">
        <f aca="false">IFERROR(F93/J93,0)</f>
        <v>35</v>
      </c>
      <c r="L93" s="26" t="s">
        <v>122</v>
      </c>
      <c r="M93" s="29" t="str">
        <f aca="false">IFERROR(INDEX(Releases!$A$5:$A$10,MATCH(I93-1,Releases!$E$5:$E$10,1)),"")</f>
        <v>R2.5 GA-Final</v>
      </c>
      <c r="N93" s="25" t="s">
        <v>124</v>
      </c>
      <c r="O93" s="26" t="s">
        <v>102</v>
      </c>
      <c r="P93" s="30"/>
      <c r="Q93" s="25" t="s">
        <v>331</v>
      </c>
    </row>
    <row r="94" customFormat="false" ht="15" hidden="false" customHeight="false" outlineLevel="0" collapsed="false">
      <c r="A94" s="14" t="s">
        <v>332</v>
      </c>
      <c r="B94" s="15" t="s">
        <v>328</v>
      </c>
      <c r="C94" s="16" t="s">
        <v>329</v>
      </c>
      <c r="D94" s="16" t="s">
        <v>333</v>
      </c>
      <c r="E94" s="17" t="s">
        <v>154</v>
      </c>
      <c r="F94" s="18" t="n">
        <v>55</v>
      </c>
      <c r="G94" s="19" t="n">
        <f aca="false">F94*Assumptions!$B$7</f>
        <v>68.75</v>
      </c>
      <c r="H94" s="17" t="n">
        <v>9</v>
      </c>
      <c r="I94" s="17" t="n">
        <v>9</v>
      </c>
      <c r="J94" s="15" t="n">
        <f aca="false">I94-H94+1</f>
        <v>1</v>
      </c>
      <c r="K94" s="20" t="n">
        <f aca="false">IFERROR(F94/J94,0)</f>
        <v>55</v>
      </c>
      <c r="L94" s="17" t="s">
        <v>122</v>
      </c>
      <c r="M94" s="21" t="str">
        <f aca="false">IFERROR(INDEX(Releases!$A$5:$A$10,MATCH(I94-1,Releases!$E$5:$E$10,1)),"")</f>
        <v>R2.0 GA-3</v>
      </c>
      <c r="N94" s="16" t="s">
        <v>124</v>
      </c>
      <c r="O94" s="17" t="s">
        <v>102</v>
      </c>
      <c r="P94" s="22"/>
      <c r="Q94" s="16"/>
    </row>
    <row r="95" customFormat="false" ht="23.85" hidden="false" customHeight="false" outlineLevel="0" collapsed="false">
      <c r="A95" s="23" t="s">
        <v>334</v>
      </c>
      <c r="B95" s="24" t="s">
        <v>335</v>
      </c>
      <c r="C95" s="25" t="s">
        <v>336</v>
      </c>
      <c r="D95" s="25" t="s">
        <v>337</v>
      </c>
      <c r="E95" s="26" t="s">
        <v>154</v>
      </c>
      <c r="F95" s="27" t="n">
        <v>90</v>
      </c>
      <c r="G95" s="28" t="n">
        <f aca="false">F95*Assumptions!$B$7</f>
        <v>112.5</v>
      </c>
      <c r="H95" s="26" t="n">
        <v>10</v>
      </c>
      <c r="I95" s="26" t="n">
        <v>11</v>
      </c>
      <c r="J95" s="24" t="n">
        <f aca="false">I95-H95+1</f>
        <v>2</v>
      </c>
      <c r="K95" s="13" t="n">
        <f aca="false">IFERROR(F95/J95,0)</f>
        <v>45</v>
      </c>
      <c r="L95" s="26" t="s">
        <v>101</v>
      </c>
      <c r="M95" s="29" t="str">
        <f aca="false">IFERROR(INDEX(Releases!$A$5:$A$10,MATCH(I95-1,Releases!$E$5:$E$10,1)),"")</f>
        <v>R2.5 GA-Final</v>
      </c>
      <c r="N95" s="25" t="s">
        <v>107</v>
      </c>
      <c r="O95" s="26" t="s">
        <v>102</v>
      </c>
      <c r="P95" s="30"/>
      <c r="Q95" s="25"/>
    </row>
    <row r="96" customFormat="false" ht="15" hidden="false" customHeight="false" outlineLevel="0" collapsed="false">
      <c r="A96" s="14" t="s">
        <v>338</v>
      </c>
      <c r="B96" s="15" t="s">
        <v>335</v>
      </c>
      <c r="C96" s="16" t="s">
        <v>336</v>
      </c>
      <c r="D96" s="16" t="s">
        <v>339</v>
      </c>
      <c r="E96" s="17" t="s">
        <v>100</v>
      </c>
      <c r="F96" s="18" t="n">
        <v>40</v>
      </c>
      <c r="G96" s="19" t="n">
        <f aca="false">F96*Assumptions!$B$7</f>
        <v>50</v>
      </c>
      <c r="H96" s="17" t="n">
        <v>9</v>
      </c>
      <c r="I96" s="17" t="n">
        <v>9</v>
      </c>
      <c r="J96" s="15" t="n">
        <f aca="false">I96-H96+1</f>
        <v>1</v>
      </c>
      <c r="K96" s="20" t="n">
        <f aca="false">IFERROR(F96/J96,0)</f>
        <v>40</v>
      </c>
      <c r="L96" s="17" t="s">
        <v>101</v>
      </c>
      <c r="M96" s="21" t="str">
        <f aca="false">IFERROR(INDEX(Releases!$A$5:$A$10,MATCH(I96-1,Releases!$E$5:$E$10,1)),"")</f>
        <v>R2.0 GA-3</v>
      </c>
      <c r="N96" s="16" t="s">
        <v>107</v>
      </c>
      <c r="O96" s="17" t="s">
        <v>102</v>
      </c>
      <c r="P96" s="22"/>
      <c r="Q96" s="16"/>
    </row>
    <row r="97" customFormat="false" ht="15" hidden="false" customHeight="false" outlineLevel="0" collapsed="false">
      <c r="A97" s="23" t="s">
        <v>340</v>
      </c>
      <c r="B97" s="24" t="s">
        <v>341</v>
      </c>
      <c r="C97" s="25" t="s">
        <v>342</v>
      </c>
      <c r="D97" s="25" t="s">
        <v>343</v>
      </c>
      <c r="E97" s="26" t="s">
        <v>100</v>
      </c>
      <c r="F97" s="27" t="n">
        <v>60</v>
      </c>
      <c r="G97" s="28" t="n">
        <f aca="false">F97*Assumptions!$B$7</f>
        <v>75</v>
      </c>
      <c r="H97" s="26" t="n">
        <v>11</v>
      </c>
      <c r="I97" s="26" t="n">
        <v>11</v>
      </c>
      <c r="J97" s="24" t="n">
        <f aca="false">I97-H97+1</f>
        <v>1</v>
      </c>
      <c r="K97" s="13" t="n">
        <f aca="false">IFERROR(F97/J97,0)</f>
        <v>60</v>
      </c>
      <c r="L97" s="26" t="s">
        <v>101</v>
      </c>
      <c r="M97" s="29" t="str">
        <f aca="false">IFERROR(INDEX(Releases!$A$5:$A$10,MATCH(I97-1,Releases!$E$5:$E$10,1)),"")</f>
        <v>R2.5 GA-Final</v>
      </c>
      <c r="N97" s="25" t="s">
        <v>109</v>
      </c>
      <c r="O97" s="26" t="s">
        <v>102</v>
      </c>
      <c r="P97" s="30"/>
      <c r="Q97" s="25"/>
    </row>
    <row r="98" customFormat="false" ht="15" hidden="false" customHeight="false" outlineLevel="0" collapsed="false">
      <c r="A98" s="14" t="s">
        <v>344</v>
      </c>
      <c r="B98" s="15" t="s">
        <v>341</v>
      </c>
      <c r="C98" s="16" t="s">
        <v>342</v>
      </c>
      <c r="D98" s="16" t="s">
        <v>345</v>
      </c>
      <c r="E98" s="17" t="s">
        <v>100</v>
      </c>
      <c r="F98" s="18" t="n">
        <v>40</v>
      </c>
      <c r="G98" s="19" t="n">
        <f aca="false">F98*Assumptions!$B$7</f>
        <v>50</v>
      </c>
      <c r="H98" s="17" t="n">
        <v>11</v>
      </c>
      <c r="I98" s="17" t="n">
        <v>11</v>
      </c>
      <c r="J98" s="15" t="n">
        <f aca="false">I98-H98+1</f>
        <v>1</v>
      </c>
      <c r="K98" s="20" t="n">
        <f aca="false">IFERROR(F98/J98,0)</f>
        <v>40</v>
      </c>
      <c r="L98" s="17" t="s">
        <v>122</v>
      </c>
      <c r="M98" s="21" t="str">
        <f aca="false">IFERROR(INDEX(Releases!$A$5:$A$10,MATCH(I98-1,Releases!$E$5:$E$10,1)),"")</f>
        <v>R2.5 GA-Final</v>
      </c>
      <c r="N98" s="16" t="s">
        <v>124</v>
      </c>
      <c r="O98" s="17" t="s">
        <v>102</v>
      </c>
      <c r="P98" s="22"/>
      <c r="Q98" s="16"/>
    </row>
    <row r="99" customFormat="false" ht="15" hidden="false" customHeight="false" outlineLevel="0" collapsed="false">
      <c r="A99" s="23" t="s">
        <v>346</v>
      </c>
      <c r="B99" s="24" t="s">
        <v>341</v>
      </c>
      <c r="C99" s="25" t="s">
        <v>342</v>
      </c>
      <c r="D99" s="25" t="s">
        <v>347</v>
      </c>
      <c r="E99" s="26" t="s">
        <v>100</v>
      </c>
      <c r="F99" s="27" t="n">
        <v>45</v>
      </c>
      <c r="G99" s="28" t="n">
        <f aca="false">F99*Assumptions!$B$7</f>
        <v>56.25</v>
      </c>
      <c r="H99" s="26" t="n">
        <v>12</v>
      </c>
      <c r="I99" s="26" t="n">
        <v>12</v>
      </c>
      <c r="J99" s="24" t="n">
        <f aca="false">I99-H99+1</f>
        <v>1</v>
      </c>
      <c r="K99" s="13" t="n">
        <f aca="false">IFERROR(F99/J99,0)</f>
        <v>45</v>
      </c>
      <c r="L99" s="26" t="s">
        <v>136</v>
      </c>
      <c r="M99" s="29" t="str">
        <f aca="false">IFERROR(INDEX(Releases!$A$5:$A$10,MATCH(I99-1,Releases!$E$5:$E$10,1)),"")</f>
        <v>R2.5 GA-Final</v>
      </c>
      <c r="N99" s="25" t="s">
        <v>340</v>
      </c>
      <c r="O99" s="26" t="s">
        <v>102</v>
      </c>
      <c r="P99" s="30"/>
      <c r="Q99" s="25"/>
    </row>
    <row r="100" customFormat="false" ht="15" hidden="false" customHeight="false" outlineLevel="0" collapsed="false">
      <c r="A100" s="14" t="s">
        <v>348</v>
      </c>
      <c r="B100" s="15" t="s">
        <v>341</v>
      </c>
      <c r="C100" s="16" t="s">
        <v>342</v>
      </c>
      <c r="D100" s="16" t="s">
        <v>349</v>
      </c>
      <c r="E100" s="17" t="s">
        <v>100</v>
      </c>
      <c r="F100" s="18" t="n">
        <v>120</v>
      </c>
      <c r="G100" s="19" t="n">
        <f aca="false">F100*Assumptions!$B$7</f>
        <v>150</v>
      </c>
      <c r="H100" s="17" t="n">
        <v>9</v>
      </c>
      <c r="I100" s="17" t="n">
        <v>12</v>
      </c>
      <c r="J100" s="15" t="n">
        <f aca="false">I100-H100+1</f>
        <v>4</v>
      </c>
      <c r="K100" s="20" t="n">
        <f aca="false">IFERROR(F100/J100,0)</f>
        <v>30</v>
      </c>
      <c r="L100" s="17" t="s">
        <v>350</v>
      </c>
      <c r="M100" s="21" t="str">
        <f aca="false">IFERROR(INDEX(Releases!$A$5:$A$10,MATCH(I100-1,Releases!$E$5:$E$10,1)),"")</f>
        <v>R2.5 GA-Final</v>
      </c>
      <c r="N100" s="16"/>
      <c r="O100" s="17" t="s">
        <v>102</v>
      </c>
      <c r="P100" s="22"/>
      <c r="Q100" s="16" t="s">
        <v>351</v>
      </c>
    </row>
    <row r="101" customFormat="false" ht="23.85" hidden="false" customHeight="false" outlineLevel="0" collapsed="false">
      <c r="A101" s="23" t="s">
        <v>352</v>
      </c>
      <c r="B101" s="24" t="s">
        <v>341</v>
      </c>
      <c r="C101" s="25" t="s">
        <v>342</v>
      </c>
      <c r="D101" s="25" t="s">
        <v>353</v>
      </c>
      <c r="E101" s="26" t="s">
        <v>100</v>
      </c>
      <c r="F101" s="27" t="n">
        <v>160</v>
      </c>
      <c r="G101" s="28" t="n">
        <f aca="false">F101*Assumptions!$B$7</f>
        <v>200</v>
      </c>
      <c r="H101" s="26" t="n">
        <v>4</v>
      </c>
      <c r="I101" s="26" t="n">
        <v>12</v>
      </c>
      <c r="J101" s="24" t="n">
        <f aca="false">I101-H101+1</f>
        <v>9</v>
      </c>
      <c r="K101" s="13" t="n">
        <f aca="false">IFERROR(F101/J101,0)</f>
        <v>17.7777777777778</v>
      </c>
      <c r="L101" s="26" t="s">
        <v>136</v>
      </c>
      <c r="M101" s="29" t="str">
        <f aca="false">IFERROR(INDEX(Releases!$A$5:$A$10,MATCH(I101-1,Releases!$E$5:$E$10,1)),"")</f>
        <v>R2.5 GA-Final</v>
      </c>
      <c r="N101" s="25" t="s">
        <v>134</v>
      </c>
      <c r="O101" s="26" t="s">
        <v>102</v>
      </c>
      <c r="P101" s="30"/>
      <c r="Q101" s="25" t="s">
        <v>354</v>
      </c>
    </row>
    <row r="102" customFormat="false" ht="15" hidden="false" customHeight="false" outlineLevel="0" collapsed="false">
      <c r="A102" s="14" t="s">
        <v>355</v>
      </c>
      <c r="B102" s="15" t="s">
        <v>341</v>
      </c>
      <c r="C102" s="16" t="s">
        <v>342</v>
      </c>
      <c r="D102" s="16" t="s">
        <v>356</v>
      </c>
      <c r="E102" s="17" t="s">
        <v>100</v>
      </c>
      <c r="F102" s="18" t="n">
        <v>50</v>
      </c>
      <c r="G102" s="19" t="n">
        <f aca="false">F102*Assumptions!$B$7</f>
        <v>62.5</v>
      </c>
      <c r="H102" s="17" t="n">
        <v>11</v>
      </c>
      <c r="I102" s="17" t="n">
        <v>12</v>
      </c>
      <c r="J102" s="15" t="n">
        <f aca="false">I102-H102+1</f>
        <v>2</v>
      </c>
      <c r="K102" s="20" t="n">
        <f aca="false">IFERROR(F102/J102,0)</f>
        <v>25</v>
      </c>
      <c r="L102" s="17" t="s">
        <v>136</v>
      </c>
      <c r="M102" s="21" t="str">
        <f aca="false">IFERROR(INDEX(Releases!$A$5:$A$10,MATCH(I102-1,Releases!$E$5:$E$10,1)),"")</f>
        <v>R2.5 GA-Final</v>
      </c>
      <c r="N102" s="16" t="s">
        <v>352</v>
      </c>
      <c r="O102" s="17" t="s">
        <v>102</v>
      </c>
      <c r="P102" s="22"/>
      <c r="Q102" s="16"/>
    </row>
    <row r="103" customFormat="false" ht="15" hidden="false" customHeight="false" outlineLevel="0" collapsed="false">
      <c r="A103" s="23" t="s">
        <v>357</v>
      </c>
      <c r="B103" s="24" t="s">
        <v>341</v>
      </c>
      <c r="C103" s="25" t="s">
        <v>342</v>
      </c>
      <c r="D103" s="25" t="s">
        <v>358</v>
      </c>
      <c r="E103" s="26" t="s">
        <v>154</v>
      </c>
      <c r="F103" s="27" t="n">
        <v>60</v>
      </c>
      <c r="G103" s="28" t="n">
        <f aca="false">F103*Assumptions!$B$7</f>
        <v>75</v>
      </c>
      <c r="H103" s="26" t="n">
        <v>11</v>
      </c>
      <c r="I103" s="26" t="n">
        <v>12</v>
      </c>
      <c r="J103" s="24" t="n">
        <f aca="false">I103-H103+1</f>
        <v>2</v>
      </c>
      <c r="K103" s="13" t="n">
        <f aca="false">IFERROR(F103/J103,0)</f>
        <v>30</v>
      </c>
      <c r="L103" s="26" t="s">
        <v>101</v>
      </c>
      <c r="M103" s="29" t="str">
        <f aca="false">IFERROR(INDEX(Releases!$A$5:$A$10,MATCH(I103-1,Releases!$E$5:$E$10,1)),"")</f>
        <v>R2.5 GA-Final</v>
      </c>
      <c r="N103" s="25" t="s">
        <v>340</v>
      </c>
      <c r="O103" s="26" t="s">
        <v>102</v>
      </c>
      <c r="P103" s="30"/>
      <c r="Q103" s="25" t="s">
        <v>359</v>
      </c>
    </row>
    <row r="105" customFormat="false" ht="15" hidden="false" customHeight="false" outlineLevel="0" collapsed="false">
      <c r="D105" s="31" t="s">
        <v>360</v>
      </c>
      <c r="F105" s="32" t="n">
        <f aca="false">SUM(F2:F103)</f>
        <v>5185</v>
      </c>
      <c r="G105" s="32" t="n">
        <f aca="false">SUM(G2:G103)</f>
        <v>6481.25</v>
      </c>
    </row>
    <row r="107" customFormat="false" ht="15" hidden="false" customHeight="false" outlineLevel="0" collapsed="false">
      <c r="D107" s="2" t="s">
        <v>361</v>
      </c>
    </row>
  </sheetData>
  <autoFilter ref="A1:Q103"/>
  <dataValidations count="3">
    <dataValidation allowBlank="true" errorStyle="stop" operator="between" showDropDown="false" showErrorMessage="false" showInputMessage="false" sqref="E2:E103" type="list">
      <formula1>"T1,T2,T3"</formula1>
      <formula2>0</formula2>
    </dataValidation>
    <dataValidation allowBlank="true" errorStyle="stop" operator="between" showDropDown="false" showErrorMessage="false" showInputMessage="false" sqref="L2:L103" type="list">
      <formula1>"S1,S2,S3,S4,S5,S6,QA,Writer,Arch"</formula1>
      <formula2>0</formula2>
    </dataValidation>
    <dataValidation allowBlank="true" errorStyle="stop" operator="between" showDropDown="false" showErrorMessage="false" showInputMessage="false" sqref="O2:O103" type="list">
      <formula1>"Not started,In progress,Blocked,In review,Done,Deferred,Cut"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2"/>
    <col collapsed="false" customWidth="true" hidden="false" outlineLevel="0" max="4" min="4" style="0" width="8"/>
    <col collapsed="false" customWidth="true" hidden="false" outlineLevel="0" max="5" min="5" style="0" width="14"/>
    <col collapsed="false" customWidth="true" hidden="false" outlineLevel="0" max="6" min="6" style="0" width="15"/>
    <col collapsed="false" customWidth="true" hidden="false" outlineLevel="0" max="7" min="7" style="0" width="17"/>
    <col collapsed="false" customWidth="true" hidden="false" outlineLevel="0" max="8" min="8" style="0" width="12"/>
    <col collapsed="false" customWidth="true" hidden="false" outlineLevel="0" max="9" min="9" style="0" width="62"/>
  </cols>
  <sheetData>
    <row r="1" customFormat="false" ht="17.35" hidden="false" customHeight="false" outlineLevel="0" collapsed="false">
      <c r="A1" s="1" t="s">
        <v>362</v>
      </c>
    </row>
    <row r="2" customFormat="false" ht="15" hidden="false" customHeight="false" outlineLevel="0" collapsed="false">
      <c r="A2" s="2" t="s">
        <v>363</v>
      </c>
    </row>
    <row r="4" customFormat="false" ht="30" hidden="false" customHeight="true" outlineLevel="0" collapsed="false">
      <c r="A4" s="6" t="s">
        <v>364</v>
      </c>
      <c r="B4" s="6" t="s">
        <v>365</v>
      </c>
      <c r="C4" s="6" t="s">
        <v>366</v>
      </c>
      <c r="D4" s="6" t="s">
        <v>367</v>
      </c>
      <c r="E4" s="6" t="s">
        <v>368</v>
      </c>
      <c r="F4" s="6" t="s">
        <v>369</v>
      </c>
      <c r="G4" s="6" t="s">
        <v>370</v>
      </c>
      <c r="H4" s="6" t="s">
        <v>371</v>
      </c>
      <c r="I4" s="6" t="s">
        <v>372</v>
      </c>
    </row>
    <row r="5" customFormat="false" ht="15" hidden="false" customHeight="false" outlineLevel="0" collapsed="false">
      <c r="A5" s="23" t="n">
        <v>1</v>
      </c>
      <c r="B5" s="24" t="s">
        <v>373</v>
      </c>
      <c r="C5" s="24" t="s">
        <v>374</v>
      </c>
      <c r="D5" s="33" t="n">
        <f aca="false">IF($A5=1,Assumptions!$B$9,1)</f>
        <v>0.5</v>
      </c>
      <c r="E5" s="11" t="n">
        <f aca="false">Assumptions!$B$14*D5</f>
        <v>332.5</v>
      </c>
      <c r="F5" s="34" t="n">
        <f aca="false">SUMPRODUCT((WBS!$H$2:$H$103&lt;=$A5)*(WBS!$I$2:$I$103&gt;=$A5)*WBS!$K$2:$K$103)</f>
        <v>200</v>
      </c>
      <c r="G5" s="11" t="n">
        <f aca="false">F5*Assumptions!$B$7</f>
        <v>250</v>
      </c>
      <c r="H5" s="12" t="n">
        <f aca="false">IFERROR(G5/E5,0)</f>
        <v>0.75187969924812</v>
      </c>
      <c r="I5" s="25" t="s">
        <v>375</v>
      </c>
    </row>
    <row r="6" customFormat="false" ht="15" hidden="false" customHeight="false" outlineLevel="0" collapsed="false">
      <c r="A6" s="14" t="n">
        <v>2</v>
      </c>
      <c r="B6" s="15" t="s">
        <v>376</v>
      </c>
      <c r="C6" s="15" t="s">
        <v>377</v>
      </c>
      <c r="D6" s="35" t="n">
        <f aca="false">IF($A6=1,Assumptions!$B$9,1)</f>
        <v>1</v>
      </c>
      <c r="E6" s="36" t="n">
        <f aca="false">Assumptions!$B$14*D6</f>
        <v>665</v>
      </c>
      <c r="F6" s="37" t="n">
        <f aca="false">SUMPRODUCT((WBS!$H$2:$H$103&lt;=$A6)*(WBS!$I$2:$I$103&gt;=$A6)*WBS!$K$2:$K$103)</f>
        <v>460</v>
      </c>
      <c r="G6" s="36" t="n">
        <f aca="false">F6*Assumptions!$B$7</f>
        <v>575</v>
      </c>
      <c r="H6" s="38" t="n">
        <f aca="false">IFERROR(G6/E6,0)</f>
        <v>0.864661654135338</v>
      </c>
      <c r="I6" s="16" t="s">
        <v>378</v>
      </c>
    </row>
    <row r="7" customFormat="false" ht="15" hidden="false" customHeight="false" outlineLevel="0" collapsed="false">
      <c r="A7" s="23" t="n">
        <v>3</v>
      </c>
      <c r="B7" s="24" t="s">
        <v>379</v>
      </c>
      <c r="C7" s="24" t="s">
        <v>380</v>
      </c>
      <c r="D7" s="33" t="n">
        <f aca="false">IF($A7=1,Assumptions!$B$9,1)</f>
        <v>1</v>
      </c>
      <c r="E7" s="11" t="n">
        <f aca="false">Assumptions!$B$14*D7</f>
        <v>665</v>
      </c>
      <c r="F7" s="34" t="n">
        <f aca="false">SUMPRODUCT((WBS!$H$2:$H$103&lt;=$A7)*(WBS!$I$2:$I$103&gt;=$A7)*WBS!$K$2:$K$103)</f>
        <v>504.5</v>
      </c>
      <c r="G7" s="11" t="n">
        <f aca="false">F7*Assumptions!$B$7</f>
        <v>630.625</v>
      </c>
      <c r="H7" s="12" t="n">
        <f aca="false">IFERROR(G7/E7,0)</f>
        <v>0.948308270676692</v>
      </c>
      <c r="I7" s="25" t="s">
        <v>381</v>
      </c>
    </row>
    <row r="8" customFormat="false" ht="15" hidden="false" customHeight="false" outlineLevel="0" collapsed="false">
      <c r="A8" s="14" t="n">
        <v>4</v>
      </c>
      <c r="B8" s="15" t="s">
        <v>382</v>
      </c>
      <c r="C8" s="15" t="s">
        <v>383</v>
      </c>
      <c r="D8" s="35" t="n">
        <f aca="false">IF($A8=1,Assumptions!$B$9,1)</f>
        <v>1</v>
      </c>
      <c r="E8" s="36" t="n">
        <f aca="false">Assumptions!$B$14*D8</f>
        <v>665</v>
      </c>
      <c r="F8" s="37" t="n">
        <f aca="false">SUMPRODUCT((WBS!$H$2:$H$103&lt;=$A8)*(WBS!$I$2:$I$103&gt;=$A8)*WBS!$K$2:$K$103)</f>
        <v>510.277777777778</v>
      </c>
      <c r="G8" s="36" t="n">
        <f aca="false">F8*Assumptions!$B$7</f>
        <v>637.847222222222</v>
      </c>
      <c r="H8" s="38" t="n">
        <f aca="false">IFERROR(G8/E8,0)</f>
        <v>0.959168755221387</v>
      </c>
      <c r="I8" s="16" t="s">
        <v>384</v>
      </c>
    </row>
    <row r="9" customFormat="false" ht="15" hidden="false" customHeight="false" outlineLevel="0" collapsed="false">
      <c r="A9" s="23" t="n">
        <v>5</v>
      </c>
      <c r="B9" s="24" t="s">
        <v>385</v>
      </c>
      <c r="C9" s="24" t="s">
        <v>386</v>
      </c>
      <c r="D9" s="33" t="n">
        <f aca="false">IF($A9=1,Assumptions!$B$9,1)</f>
        <v>1</v>
      </c>
      <c r="E9" s="11" t="n">
        <f aca="false">Assumptions!$B$14*D9</f>
        <v>665</v>
      </c>
      <c r="F9" s="34" t="n">
        <f aca="false">SUMPRODUCT((WBS!$H$2:$H$103&lt;=$A9)*(WBS!$I$2:$I$103&gt;=$A9)*WBS!$K$2:$K$103)</f>
        <v>527.777777777778</v>
      </c>
      <c r="G9" s="11" t="n">
        <f aca="false">F9*Assumptions!$B$7</f>
        <v>659.722222222222</v>
      </c>
      <c r="H9" s="12" t="n">
        <f aca="false">IFERROR(G9/E9,0)</f>
        <v>0.992063492063492</v>
      </c>
      <c r="I9" s="25" t="s">
        <v>387</v>
      </c>
    </row>
    <row r="10" customFormat="false" ht="15" hidden="false" customHeight="false" outlineLevel="0" collapsed="false">
      <c r="A10" s="14" t="n">
        <v>6</v>
      </c>
      <c r="B10" s="15" t="s">
        <v>388</v>
      </c>
      <c r="C10" s="15" t="s">
        <v>389</v>
      </c>
      <c r="D10" s="35" t="n">
        <f aca="false">IF($A10=1,Assumptions!$B$9,1)</f>
        <v>1</v>
      </c>
      <c r="E10" s="36" t="n">
        <f aca="false">Assumptions!$B$14*D10</f>
        <v>665</v>
      </c>
      <c r="F10" s="37" t="n">
        <f aca="false">SUMPRODUCT((WBS!$H$2:$H$103&lt;=$A10)*(WBS!$I$2:$I$103&gt;=$A10)*WBS!$K$2:$K$103)</f>
        <v>475.277777777778</v>
      </c>
      <c r="G10" s="36" t="n">
        <f aca="false">F10*Assumptions!$B$7</f>
        <v>594.097222222222</v>
      </c>
      <c r="H10" s="38" t="n">
        <f aca="false">IFERROR(G10/E10,0)</f>
        <v>0.893379281537176</v>
      </c>
      <c r="I10" s="16" t="s">
        <v>390</v>
      </c>
    </row>
    <row r="11" customFormat="false" ht="15" hidden="false" customHeight="false" outlineLevel="0" collapsed="false">
      <c r="A11" s="23" t="n">
        <v>7</v>
      </c>
      <c r="B11" s="24" t="s">
        <v>391</v>
      </c>
      <c r="C11" s="24" t="s">
        <v>392</v>
      </c>
      <c r="D11" s="33" t="n">
        <f aca="false">IF($A11=1,Assumptions!$B$9,1)</f>
        <v>1</v>
      </c>
      <c r="E11" s="11" t="n">
        <f aca="false">Assumptions!$B$14*D11</f>
        <v>665</v>
      </c>
      <c r="F11" s="34" t="n">
        <f aca="false">SUMPRODUCT((WBS!$H$2:$H$103&lt;=$A11)*(WBS!$I$2:$I$103&gt;=$A11)*WBS!$K$2:$K$103)</f>
        <v>522.777777777778</v>
      </c>
      <c r="G11" s="11" t="n">
        <f aca="false">F11*Assumptions!$B$7</f>
        <v>653.472222222222</v>
      </c>
      <c r="H11" s="12" t="n">
        <f aca="false">IFERROR(G11/E11,0)</f>
        <v>0.982664995822891</v>
      </c>
      <c r="I11" s="25" t="s">
        <v>393</v>
      </c>
    </row>
    <row r="12" customFormat="false" ht="15" hidden="false" customHeight="false" outlineLevel="0" collapsed="false">
      <c r="A12" s="14" t="n">
        <v>8</v>
      </c>
      <c r="B12" s="15" t="s">
        <v>394</v>
      </c>
      <c r="C12" s="15" t="s">
        <v>395</v>
      </c>
      <c r="D12" s="35" t="n">
        <f aca="false">IF($A12=1,Assumptions!$B$9,1)</f>
        <v>1</v>
      </c>
      <c r="E12" s="36" t="n">
        <f aca="false">Assumptions!$B$14*D12</f>
        <v>665</v>
      </c>
      <c r="F12" s="37" t="n">
        <f aca="false">SUMPRODUCT((WBS!$H$2:$H$103&lt;=$A12)*(WBS!$I$2:$I$103&gt;=$A12)*WBS!$K$2:$K$103)</f>
        <v>540.277777777778</v>
      </c>
      <c r="G12" s="36" t="n">
        <f aca="false">F12*Assumptions!$B$7</f>
        <v>675.347222222222</v>
      </c>
      <c r="H12" s="38" t="n">
        <f aca="false">IFERROR(G12/E12,0)</f>
        <v>1.015559732665</v>
      </c>
      <c r="I12" s="16" t="s">
        <v>396</v>
      </c>
    </row>
    <row r="13" customFormat="false" ht="15" hidden="false" customHeight="false" outlineLevel="0" collapsed="false">
      <c r="A13" s="23" t="n">
        <v>9</v>
      </c>
      <c r="B13" s="24" t="s">
        <v>397</v>
      </c>
      <c r="C13" s="24" t="s">
        <v>398</v>
      </c>
      <c r="D13" s="33" t="n">
        <f aca="false">IF($A13=1,Assumptions!$B$9,1)</f>
        <v>1</v>
      </c>
      <c r="E13" s="11" t="n">
        <f aca="false">Assumptions!$B$14*D13</f>
        <v>665</v>
      </c>
      <c r="F13" s="34" t="n">
        <f aca="false">SUMPRODUCT((WBS!$H$2:$H$103&lt;=$A13)*(WBS!$I$2:$I$103&gt;=$A13)*WBS!$K$2:$K$103)</f>
        <v>422.777777777778</v>
      </c>
      <c r="G13" s="11" t="n">
        <f aca="false">F13*Assumptions!$B$7</f>
        <v>528.472222222222</v>
      </c>
      <c r="H13" s="12" t="n">
        <f aca="false">IFERROR(G13/E13,0)</f>
        <v>0.794695071010861</v>
      </c>
      <c r="I13" s="25" t="s">
        <v>399</v>
      </c>
    </row>
    <row r="14" customFormat="false" ht="15" hidden="false" customHeight="false" outlineLevel="0" collapsed="false">
      <c r="A14" s="14" t="n">
        <v>10</v>
      </c>
      <c r="B14" s="15" t="s">
        <v>400</v>
      </c>
      <c r="C14" s="15" t="s">
        <v>401</v>
      </c>
      <c r="D14" s="35" t="n">
        <f aca="false">IF($A14=1,Assumptions!$B$9,1)</f>
        <v>1</v>
      </c>
      <c r="E14" s="36" t="n">
        <f aca="false">Assumptions!$B$14*D14</f>
        <v>665</v>
      </c>
      <c r="F14" s="37" t="n">
        <f aca="false">SUMPRODUCT((WBS!$H$2:$H$103&lt;=$A14)*(WBS!$I$2:$I$103&gt;=$A14)*WBS!$K$2:$K$103)</f>
        <v>525.777777777778</v>
      </c>
      <c r="G14" s="36" t="n">
        <f aca="false">F14*Assumptions!$B$7</f>
        <v>657.222222222222</v>
      </c>
      <c r="H14" s="38" t="n">
        <f aca="false">IFERROR(G14/E14,0)</f>
        <v>0.988304093567252</v>
      </c>
      <c r="I14" s="16" t="s">
        <v>402</v>
      </c>
    </row>
    <row r="15" customFormat="false" ht="15" hidden="false" customHeight="false" outlineLevel="0" collapsed="false">
      <c r="A15" s="23" t="n">
        <v>11</v>
      </c>
      <c r="B15" s="24" t="s">
        <v>403</v>
      </c>
      <c r="C15" s="24" t="s">
        <v>404</v>
      </c>
      <c r="D15" s="33" t="n">
        <f aca="false">IF($A15=1,Assumptions!$B$9,1)</f>
        <v>1</v>
      </c>
      <c r="E15" s="11" t="n">
        <f aca="false">Assumptions!$B$14*D15</f>
        <v>665</v>
      </c>
      <c r="F15" s="34" t="n">
        <f aca="false">SUMPRODUCT((WBS!$H$2:$H$103&lt;=$A15)*(WBS!$I$2:$I$103&gt;=$A15)*WBS!$K$2:$K$103)</f>
        <v>347.777777777778</v>
      </c>
      <c r="G15" s="11" t="n">
        <f aca="false">F15*Assumptions!$B$7</f>
        <v>434.722222222222</v>
      </c>
      <c r="H15" s="12" t="n">
        <f aca="false">IFERROR(G15/E15,0)</f>
        <v>0.653717627401838</v>
      </c>
      <c r="I15" s="25" t="s">
        <v>405</v>
      </c>
    </row>
    <row r="16" customFormat="false" ht="15" hidden="false" customHeight="false" outlineLevel="0" collapsed="false">
      <c r="A16" s="14" t="n">
        <v>12</v>
      </c>
      <c r="B16" s="15" t="s">
        <v>406</v>
      </c>
      <c r="C16" s="15" t="s">
        <v>407</v>
      </c>
      <c r="D16" s="35" t="n">
        <f aca="false">IF($A16=1,Assumptions!$B$9,1)</f>
        <v>1</v>
      </c>
      <c r="E16" s="36" t="n">
        <f aca="false">Assumptions!$B$14*D16</f>
        <v>665</v>
      </c>
      <c r="F16" s="37" t="n">
        <f aca="false">SUMPRODUCT((WBS!$H$2:$H$103&lt;=$A16)*(WBS!$I$2:$I$103&gt;=$A16)*WBS!$K$2:$K$103)</f>
        <v>147.777777777778</v>
      </c>
      <c r="G16" s="36" t="n">
        <f aca="false">F16*Assumptions!$B$7</f>
        <v>184.722222222222</v>
      </c>
      <c r="H16" s="38" t="n">
        <f aca="false">IFERROR(G16/E16,0)</f>
        <v>0.277777777777778</v>
      </c>
      <c r="I16" s="16" t="s">
        <v>408</v>
      </c>
    </row>
    <row r="17" customFormat="false" ht="15" hidden="false" customHeight="false" outlineLevel="0" collapsed="false">
      <c r="C17" s="31" t="s">
        <v>360</v>
      </c>
      <c r="E17" s="32" t="n">
        <f aca="false">SUM(E5:E16)</f>
        <v>7647.5</v>
      </c>
      <c r="F17" s="32" t="n">
        <f aca="false">SUM(F5:F16)</f>
        <v>5185</v>
      </c>
      <c r="G17" s="32" t="n">
        <f aca="false">SUM(G5:G16)</f>
        <v>6481.25</v>
      </c>
      <c r="H17" s="39" t="n">
        <f aca="false">IFERROR(G17/E17,0)</f>
        <v>0.847499182739458</v>
      </c>
    </row>
    <row r="19" customFormat="false" ht="15" hidden="false" customHeight="false" outlineLevel="0" collapsed="false">
      <c r="A19" s="7" t="s">
        <v>409</v>
      </c>
    </row>
    <row r="21" customFormat="false" ht="15" hidden="false" customHeight="false" outlineLevel="0" collapsed="false">
      <c r="A21" s="5" t="s">
        <v>410</v>
      </c>
    </row>
    <row r="23" customFormat="false" ht="15" hidden="false" customHeight="false" outlineLevel="0" collapsed="false">
      <c r="A23" s="5"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4" min="3" style="0" width="12"/>
    <col collapsed="false" customWidth="true" hidden="false" outlineLevel="0" max="5" min="5" style="0" width="13"/>
    <col collapsed="false" customWidth="true" hidden="false" outlineLevel="0" max="6" min="6" style="0" width="28"/>
  </cols>
  <sheetData>
    <row r="1" customFormat="false" ht="17.35" hidden="false" customHeight="false" outlineLevel="0" collapsed="false">
      <c r="A1" s="1" t="s">
        <v>412</v>
      </c>
    </row>
    <row r="2" customFormat="false" ht="15" hidden="false" customHeight="false" outlineLevel="0" collapsed="false">
      <c r="A2" s="2" t="s">
        <v>413</v>
      </c>
    </row>
    <row r="4" customFormat="false" ht="30" hidden="false" customHeight="true" outlineLevel="0" collapsed="false">
      <c r="A4" s="6" t="s">
        <v>80</v>
      </c>
      <c r="B4" s="6" t="s">
        <v>81</v>
      </c>
      <c r="C4" s="6" t="s">
        <v>84</v>
      </c>
      <c r="D4" s="6" t="s">
        <v>85</v>
      </c>
      <c r="E4" s="6" t="s">
        <v>414</v>
      </c>
    </row>
    <row r="5" customFormat="false" ht="15" hidden="false" customHeight="false" outlineLevel="0" collapsed="false">
      <c r="A5" s="23" t="s">
        <v>97</v>
      </c>
      <c r="B5" s="40" t="s">
        <v>98</v>
      </c>
      <c r="C5" s="34" t="n">
        <f aca="false">SUMIF(WBS!$B$2:$B$103,$A5,WBS!$F$2:$F$103)</f>
        <v>685</v>
      </c>
      <c r="D5" s="11" t="n">
        <f aca="false">C5*Assumptions!$B$7</f>
        <v>856.25</v>
      </c>
      <c r="E5" s="12" t="n">
        <f aca="false">IFERROR(C5/$C$18,0)</f>
        <v>0.132111861137898</v>
      </c>
    </row>
    <row r="6" customFormat="false" ht="15" hidden="false" customHeight="false" outlineLevel="0" collapsed="false">
      <c r="A6" s="23" t="s">
        <v>138</v>
      </c>
      <c r="B6" s="40" t="s">
        <v>139</v>
      </c>
      <c r="C6" s="34" t="n">
        <f aca="false">SUMIF(WBS!$B$2:$B$103,$A6,WBS!$F$2:$F$103)</f>
        <v>300</v>
      </c>
      <c r="D6" s="11" t="n">
        <f aca="false">C6*Assumptions!$B$7</f>
        <v>375</v>
      </c>
      <c r="E6" s="12" t="n">
        <f aca="false">IFERROR(C6/$C$18,0)</f>
        <v>0.0578592092574735</v>
      </c>
    </row>
    <row r="7" customFormat="false" ht="15" hidden="false" customHeight="false" outlineLevel="0" collapsed="false">
      <c r="A7" s="23" t="s">
        <v>166</v>
      </c>
      <c r="B7" s="40" t="s">
        <v>167</v>
      </c>
      <c r="C7" s="34" t="n">
        <f aca="false">SUMIF(WBS!$B$2:$B$103,$A7,WBS!$F$2:$F$103)</f>
        <v>375</v>
      </c>
      <c r="D7" s="11" t="n">
        <f aca="false">C7*Assumptions!$B$7</f>
        <v>468.75</v>
      </c>
      <c r="E7" s="12" t="n">
        <f aca="false">IFERROR(C7/$C$18,0)</f>
        <v>0.0723240115718419</v>
      </c>
    </row>
    <row r="8" customFormat="false" ht="15" hidden="false" customHeight="false" outlineLevel="0" collapsed="false">
      <c r="A8" s="23" t="s">
        <v>190</v>
      </c>
      <c r="B8" s="40" t="s">
        <v>191</v>
      </c>
      <c r="C8" s="34" t="n">
        <f aca="false">SUMIF(WBS!$B$2:$B$103,$A8,WBS!$F$2:$F$103)</f>
        <v>540</v>
      </c>
      <c r="D8" s="11" t="n">
        <f aca="false">C8*Assumptions!$B$7</f>
        <v>675</v>
      </c>
      <c r="E8" s="12" t="n">
        <f aca="false">IFERROR(C8/$C$18,0)</f>
        <v>0.104146576663452</v>
      </c>
    </row>
    <row r="9" customFormat="false" ht="15" hidden="false" customHeight="false" outlineLevel="0" collapsed="false">
      <c r="A9" s="23" t="s">
        <v>211</v>
      </c>
      <c r="B9" s="40" t="s">
        <v>212</v>
      </c>
      <c r="C9" s="34" t="n">
        <f aca="false">SUMIF(WBS!$B$2:$B$103,$A9,WBS!$F$2:$F$103)</f>
        <v>365</v>
      </c>
      <c r="D9" s="11" t="n">
        <f aca="false">C9*Assumptions!$B$7</f>
        <v>456.25</v>
      </c>
      <c r="E9" s="12" t="n">
        <f aca="false">IFERROR(C9/$C$18,0)</f>
        <v>0.0703953712632594</v>
      </c>
    </row>
    <row r="10" customFormat="false" ht="15" hidden="false" customHeight="false" outlineLevel="0" collapsed="false">
      <c r="A10" s="23" t="s">
        <v>228</v>
      </c>
      <c r="B10" s="40" t="s">
        <v>229</v>
      </c>
      <c r="C10" s="34" t="n">
        <f aca="false">SUMIF(WBS!$B$2:$B$103,$A10,WBS!$F$2:$F$103)</f>
        <v>270</v>
      </c>
      <c r="D10" s="11" t="n">
        <f aca="false">C10*Assumptions!$B$7</f>
        <v>337.5</v>
      </c>
      <c r="E10" s="12" t="n">
        <f aca="false">IFERROR(C10/$C$18,0)</f>
        <v>0.0520732883317261</v>
      </c>
    </row>
    <row r="11" customFormat="false" ht="15" hidden="false" customHeight="false" outlineLevel="0" collapsed="false">
      <c r="A11" s="23" t="s">
        <v>244</v>
      </c>
      <c r="B11" s="40" t="s">
        <v>245</v>
      </c>
      <c r="C11" s="34" t="n">
        <f aca="false">SUMIF(WBS!$B$2:$B$103,$A11,WBS!$F$2:$F$103)</f>
        <v>650</v>
      </c>
      <c r="D11" s="11" t="n">
        <f aca="false">C11*Assumptions!$B$7</f>
        <v>812.5</v>
      </c>
      <c r="E11" s="12" t="n">
        <f aca="false">IFERROR(C11/$C$18,0)</f>
        <v>0.125361620057859</v>
      </c>
    </row>
    <row r="12" customFormat="false" ht="15" hidden="false" customHeight="false" outlineLevel="0" collapsed="false">
      <c r="A12" s="23" t="s">
        <v>270</v>
      </c>
      <c r="B12" s="40" t="s">
        <v>271</v>
      </c>
      <c r="C12" s="34" t="n">
        <f aca="false">SUMIF(WBS!$B$2:$B$103,$A12,WBS!$F$2:$F$103)</f>
        <v>575</v>
      </c>
      <c r="D12" s="11" t="n">
        <f aca="false">C12*Assumptions!$B$7</f>
        <v>718.75</v>
      </c>
      <c r="E12" s="12" t="n">
        <f aca="false">IFERROR(C12/$C$18,0)</f>
        <v>0.110896817743491</v>
      </c>
    </row>
    <row r="13" customFormat="false" ht="15" hidden="false" customHeight="false" outlineLevel="0" collapsed="false">
      <c r="A13" s="23" t="s">
        <v>297</v>
      </c>
      <c r="B13" s="40" t="s">
        <v>298</v>
      </c>
      <c r="C13" s="34" t="n">
        <f aca="false">SUMIF(WBS!$B$2:$B$103,$A13,WBS!$F$2:$F$103)</f>
        <v>425</v>
      </c>
      <c r="D13" s="11" t="n">
        <f aca="false">C13*Assumptions!$B$7</f>
        <v>531.25</v>
      </c>
      <c r="E13" s="12" t="n">
        <f aca="false">IFERROR(C13/$C$18,0)</f>
        <v>0.0819672131147541</v>
      </c>
    </row>
    <row r="14" customFormat="false" ht="15" hidden="false" customHeight="false" outlineLevel="0" collapsed="false">
      <c r="A14" s="23" t="s">
        <v>317</v>
      </c>
      <c r="B14" s="40" t="s">
        <v>318</v>
      </c>
      <c r="C14" s="34" t="n">
        <f aca="false">SUMIF(WBS!$B$2:$B$103,$A14,WBS!$F$2:$F$103)</f>
        <v>210</v>
      </c>
      <c r="D14" s="11" t="n">
        <f aca="false">C14*Assumptions!$B$7</f>
        <v>262.5</v>
      </c>
      <c r="E14" s="12" t="n">
        <f aca="false">IFERROR(C14/$C$18,0)</f>
        <v>0.0405014464802314</v>
      </c>
    </row>
    <row r="15" customFormat="false" ht="15" hidden="false" customHeight="false" outlineLevel="0" collapsed="false">
      <c r="A15" s="23" t="s">
        <v>328</v>
      </c>
      <c r="B15" s="40" t="s">
        <v>329</v>
      </c>
      <c r="C15" s="34" t="n">
        <f aca="false">SUMIF(WBS!$B$2:$B$103,$A15,WBS!$F$2:$F$103)</f>
        <v>125</v>
      </c>
      <c r="D15" s="11" t="n">
        <f aca="false">C15*Assumptions!$B$7</f>
        <v>156.25</v>
      </c>
      <c r="E15" s="12" t="n">
        <f aca="false">IFERROR(C15/$C$18,0)</f>
        <v>0.0241080038572806</v>
      </c>
    </row>
    <row r="16" customFormat="false" ht="15" hidden="false" customHeight="false" outlineLevel="0" collapsed="false">
      <c r="A16" s="23" t="s">
        <v>335</v>
      </c>
      <c r="B16" s="40" t="s">
        <v>336</v>
      </c>
      <c r="C16" s="34" t="n">
        <f aca="false">SUMIF(WBS!$B$2:$B$103,$A16,WBS!$F$2:$F$103)</f>
        <v>130</v>
      </c>
      <c r="D16" s="11" t="n">
        <f aca="false">C16*Assumptions!$B$7</f>
        <v>162.5</v>
      </c>
      <c r="E16" s="12" t="n">
        <f aca="false">IFERROR(C16/$C$18,0)</f>
        <v>0.0250723240115718</v>
      </c>
    </row>
    <row r="17" customFormat="false" ht="15" hidden="false" customHeight="false" outlineLevel="0" collapsed="false">
      <c r="A17" s="23" t="s">
        <v>341</v>
      </c>
      <c r="B17" s="40" t="s">
        <v>342</v>
      </c>
      <c r="C17" s="34" t="n">
        <f aca="false">SUMIF(WBS!$B$2:$B$103,$A17,WBS!$F$2:$F$103)</f>
        <v>535</v>
      </c>
      <c r="D17" s="11" t="n">
        <f aca="false">C17*Assumptions!$B$7</f>
        <v>668.75</v>
      </c>
      <c r="E17" s="12" t="n">
        <f aca="false">IFERROR(C17/$C$18,0)</f>
        <v>0.103182256509161</v>
      </c>
    </row>
    <row r="18" customFormat="false" ht="15" hidden="false" customHeight="false" outlineLevel="0" collapsed="false">
      <c r="B18" s="31" t="s">
        <v>360</v>
      </c>
      <c r="C18" s="32" t="n">
        <f aca="false">SUM(C5:C17)</f>
        <v>5185</v>
      </c>
      <c r="D18" s="32" t="n">
        <f aca="false">SUM(D5:D17)</f>
        <v>6481.25</v>
      </c>
    </row>
    <row r="20" customFormat="false" ht="30" hidden="false" customHeight="true" outlineLevel="0" collapsed="false">
      <c r="A20" s="6" t="s">
        <v>83</v>
      </c>
      <c r="B20" s="6" t="s">
        <v>415</v>
      </c>
      <c r="C20" s="6" t="s">
        <v>84</v>
      </c>
      <c r="D20" s="6" t="s">
        <v>85</v>
      </c>
      <c r="E20" s="6" t="s">
        <v>416</v>
      </c>
      <c r="F20" s="6" t="s">
        <v>417</v>
      </c>
    </row>
    <row r="21" customFormat="false" ht="15" hidden="false" customHeight="false" outlineLevel="0" collapsed="false">
      <c r="A21" s="23" t="s">
        <v>100</v>
      </c>
      <c r="B21" s="40" t="s">
        <v>418</v>
      </c>
      <c r="C21" s="34" t="n">
        <f aca="false">SUMIF(WBS!$E$2:$E$103,$A21,WBS!$F$2:$F$103)</f>
        <v>3345</v>
      </c>
      <c r="D21" s="11" t="n">
        <f aca="false">C21*Assumptions!$B$7</f>
        <v>4181.25</v>
      </c>
      <c r="E21" s="12" t="n">
        <f aca="false">IFERROR(C21/$C$24,0)</f>
        <v>0.645130183220829</v>
      </c>
      <c r="F21" s="13" t="n">
        <f aca="false">IFERROR(D21/(Assumptions!$B$5*Assumptions!$B$6/12),0)</f>
        <v>18.8627819548872</v>
      </c>
    </row>
    <row r="22" customFormat="false" ht="15" hidden="false" customHeight="false" outlineLevel="0" collapsed="false">
      <c r="A22" s="23" t="s">
        <v>154</v>
      </c>
      <c r="B22" s="40" t="s">
        <v>419</v>
      </c>
      <c r="C22" s="34" t="n">
        <f aca="false">SUMIF(WBS!$E$2:$E$103,$A22,WBS!$F$2:$F$103)</f>
        <v>1427</v>
      </c>
      <c r="D22" s="11" t="n">
        <f aca="false">C22*Assumptions!$B$7</f>
        <v>1783.75</v>
      </c>
      <c r="E22" s="12" t="n">
        <f aca="false">IFERROR(C22/$C$24,0)</f>
        <v>0.275216972034716</v>
      </c>
      <c r="F22" s="13" t="n">
        <f aca="false">IFERROR(D22/(Assumptions!$B$5*Assumptions!$B$6/12),0)</f>
        <v>8.04699248120301</v>
      </c>
    </row>
    <row r="23" customFormat="false" ht="15" hidden="false" customHeight="false" outlineLevel="0" collapsed="false">
      <c r="A23" s="23" t="s">
        <v>159</v>
      </c>
      <c r="B23" s="40" t="s">
        <v>420</v>
      </c>
      <c r="C23" s="34" t="n">
        <f aca="false">SUMIF(WBS!$E$2:$E$103,$A23,WBS!$F$2:$F$103)</f>
        <v>413</v>
      </c>
      <c r="D23" s="11" t="n">
        <f aca="false">C23*Assumptions!$B$7</f>
        <v>516.25</v>
      </c>
      <c r="E23" s="12" t="n">
        <f aca="false">IFERROR(C23/$C$24,0)</f>
        <v>0.0796528447444552</v>
      </c>
      <c r="F23" s="13" t="n">
        <f aca="false">IFERROR(D23/(Assumptions!$B$5*Assumptions!$B$6/12),0)</f>
        <v>2.32894736842105</v>
      </c>
    </row>
    <row r="24" customFormat="false" ht="15" hidden="false" customHeight="false" outlineLevel="0" collapsed="false">
      <c r="B24" s="31" t="s">
        <v>360</v>
      </c>
      <c r="C24" s="32" t="n">
        <f aca="false">SUM(C21:C23)</f>
        <v>5185</v>
      </c>
      <c r="D24" s="32" t="n">
        <f aca="false">SUM(D21:D23)</f>
        <v>6481.25</v>
      </c>
    </row>
    <row r="26" customFormat="false" ht="30" hidden="false" customHeight="true" outlineLevel="0" collapsed="false">
      <c r="A26" s="6" t="s">
        <v>90</v>
      </c>
      <c r="B26" s="6" t="s">
        <v>421</v>
      </c>
      <c r="C26" s="6" t="s">
        <v>84</v>
      </c>
      <c r="D26" s="6" t="s">
        <v>85</v>
      </c>
      <c r="E26" s="6" t="s">
        <v>414</v>
      </c>
    </row>
    <row r="27" customFormat="false" ht="15" hidden="false" customHeight="false" outlineLevel="0" collapsed="false">
      <c r="A27" s="23" t="s">
        <v>116</v>
      </c>
      <c r="B27" s="40" t="s">
        <v>422</v>
      </c>
      <c r="C27" s="34" t="n">
        <f aca="false">SUMIF(WBS!$L$2:$L$103,$A27,WBS!$F$2:$F$103)</f>
        <v>860</v>
      </c>
      <c r="D27" s="11" t="n">
        <f aca="false">C27*Assumptions!$B$7</f>
        <v>1075</v>
      </c>
      <c r="E27" s="12" t="n">
        <f aca="false">IFERROR(C27/WBS!$F$105,0)</f>
        <v>0.165863066538091</v>
      </c>
    </row>
    <row r="28" customFormat="false" ht="15" hidden="false" customHeight="false" outlineLevel="0" collapsed="false">
      <c r="A28" s="23" t="s">
        <v>169</v>
      </c>
      <c r="B28" s="40" t="s">
        <v>423</v>
      </c>
      <c r="C28" s="34" t="n">
        <f aca="false">SUMIF(WBS!$L$2:$L$103,$A28,WBS!$F$2:$F$103)</f>
        <v>840</v>
      </c>
      <c r="D28" s="11" t="n">
        <f aca="false">C28*Assumptions!$B$7</f>
        <v>1050</v>
      </c>
      <c r="E28" s="12" t="n">
        <f aca="false">IFERROR(C28/WBS!$F$105,0)</f>
        <v>0.162005785920926</v>
      </c>
    </row>
    <row r="29" customFormat="false" ht="15" hidden="false" customHeight="false" outlineLevel="0" collapsed="false">
      <c r="A29" s="23" t="s">
        <v>214</v>
      </c>
      <c r="B29" s="40" t="s">
        <v>424</v>
      </c>
      <c r="C29" s="34" t="n">
        <f aca="false">SUMIF(WBS!$L$2:$L$103,$A29,WBS!$F$2:$F$103)</f>
        <v>1200</v>
      </c>
      <c r="D29" s="11" t="n">
        <f aca="false">C29*Assumptions!$B$7</f>
        <v>1500</v>
      </c>
      <c r="E29" s="12" t="n">
        <f aca="false">IFERROR(C29/WBS!$F$105,0)</f>
        <v>0.231436837029894</v>
      </c>
    </row>
    <row r="30" customFormat="false" ht="15" hidden="false" customHeight="false" outlineLevel="0" collapsed="false">
      <c r="A30" s="23" t="s">
        <v>122</v>
      </c>
      <c r="B30" s="40" t="s">
        <v>425</v>
      </c>
      <c r="C30" s="34" t="n">
        <f aca="false">SUMIF(WBS!$L$2:$L$103,$A30,WBS!$F$2:$F$103)</f>
        <v>1065</v>
      </c>
      <c r="D30" s="11" t="n">
        <f aca="false">C30*Assumptions!$B$7</f>
        <v>1331.25</v>
      </c>
      <c r="E30" s="12" t="n">
        <f aca="false">IFERROR(C30/WBS!$F$105,0)</f>
        <v>0.205400192864031</v>
      </c>
    </row>
    <row r="31" customFormat="false" ht="15" hidden="false" customHeight="false" outlineLevel="0" collapsed="false">
      <c r="A31" s="23" t="s">
        <v>128</v>
      </c>
      <c r="B31" s="40" t="s">
        <v>426</v>
      </c>
      <c r="C31" s="34" t="n">
        <f aca="false">SUMIF(WBS!$L$2:$L$103,$A31,WBS!$F$2:$F$103)</f>
        <v>310</v>
      </c>
      <c r="D31" s="11" t="n">
        <f aca="false">C31*Assumptions!$B$7</f>
        <v>387.5</v>
      </c>
      <c r="E31" s="12" t="n">
        <f aca="false">IFERROR(C31/WBS!$F$105,0)</f>
        <v>0.0597878495660559</v>
      </c>
    </row>
    <row r="32" customFormat="false" ht="15" hidden="false" customHeight="false" outlineLevel="0" collapsed="false">
      <c r="A32" s="23" t="s">
        <v>101</v>
      </c>
      <c r="B32" s="40" t="s">
        <v>427</v>
      </c>
      <c r="C32" s="34" t="n">
        <f aca="false">SUMIF(WBS!$L$2:$L$103,$A32,WBS!$F$2:$F$103)</f>
        <v>435</v>
      </c>
      <c r="D32" s="11" t="n">
        <f aca="false">C32*Assumptions!$B$7</f>
        <v>543.75</v>
      </c>
      <c r="E32" s="12" t="n">
        <f aca="false">IFERROR(C32/WBS!$F$105,0)</f>
        <v>0.0838958534233366</v>
      </c>
    </row>
    <row r="33" customFormat="false" ht="15" hidden="false" customHeight="false" outlineLevel="0" collapsed="false">
      <c r="A33" s="23" t="s">
        <v>136</v>
      </c>
      <c r="B33" s="40" t="s">
        <v>428</v>
      </c>
      <c r="C33" s="34" t="n">
        <f aca="false">SUMIF(WBS!$L$2:$L$103,$A33,WBS!$F$2:$F$103)</f>
        <v>355</v>
      </c>
      <c r="D33" s="11" t="n">
        <f aca="false">C33*Assumptions!$B$7</f>
        <v>443.75</v>
      </c>
      <c r="E33" s="12" t="n">
        <f aca="false">IFERROR(C33/WBS!$F$105,0)</f>
        <v>0.068466730954677</v>
      </c>
    </row>
    <row r="34" customFormat="false" ht="15" hidden="false" customHeight="false" outlineLevel="0" collapsed="false">
      <c r="A34" s="23" t="s">
        <v>350</v>
      </c>
      <c r="B34" s="40" t="s">
        <v>429</v>
      </c>
      <c r="C34" s="34" t="n">
        <f aca="false">SUMIF(WBS!$L$2:$L$103,$A34,WBS!$F$2:$F$103)</f>
        <v>120</v>
      </c>
      <c r="D34" s="11" t="n">
        <f aca="false">C34*Assumptions!$B$7</f>
        <v>150</v>
      </c>
      <c r="E34" s="12" t="n">
        <f aca="false">IFERROR(C34/WBS!$F$105,0)</f>
        <v>0.0231436837029894</v>
      </c>
    </row>
    <row r="35" customFormat="false" ht="15" hidden="false" customHeight="false" outlineLevel="0" collapsed="false">
      <c r="B35" s="31" t="s">
        <v>360</v>
      </c>
      <c r="C35" s="32" t="n">
        <f aca="false">SUM(C27:C34)</f>
        <v>5185</v>
      </c>
      <c r="D35" s="32" t="n">
        <f aca="false">SUM(D27:D34)</f>
        <v>6481.25</v>
      </c>
    </row>
    <row r="37" customFormat="false" ht="15" hidden="false" customHeight="false" outlineLevel="0" collapsed="false">
      <c r="A37" s="7" t="s">
        <v>430</v>
      </c>
    </row>
    <row r="38" customFormat="false" ht="15" hidden="false" customHeight="false" outlineLevel="0" collapsed="false">
      <c r="A38" s="2"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56"/>
    <col collapsed="false" customWidth="true" hidden="false" outlineLevel="0" max="7" min="7" style="0" width="70"/>
    <col collapsed="false" customWidth="true" hidden="false" outlineLevel="0" max="8" min="8" style="0" width="10"/>
  </cols>
  <sheetData>
    <row r="1" customFormat="false" ht="17.35" hidden="false" customHeight="false" outlineLevel="0" collapsed="false">
      <c r="A1" s="1" t="s">
        <v>432</v>
      </c>
    </row>
    <row r="2" customFormat="false" ht="15" hidden="false" customHeight="false" outlineLevel="0" collapsed="false">
      <c r="A2" s="2" t="s">
        <v>433</v>
      </c>
    </row>
    <row r="4" customFormat="false" ht="30" hidden="false" customHeight="true" outlineLevel="0" collapsed="false">
      <c r="A4" s="6" t="s">
        <v>91</v>
      </c>
      <c r="B4" s="6" t="s">
        <v>434</v>
      </c>
      <c r="C4" s="6" t="s">
        <v>435</v>
      </c>
      <c r="D4" s="6" t="s">
        <v>436</v>
      </c>
      <c r="E4" s="6" t="s">
        <v>437</v>
      </c>
      <c r="F4" s="6" t="s">
        <v>438</v>
      </c>
      <c r="G4" s="6" t="s">
        <v>439</v>
      </c>
      <c r="H4" s="6" t="s">
        <v>84</v>
      </c>
    </row>
    <row r="5" customFormat="false" ht="61.5" hidden="false" customHeight="true" outlineLevel="0" collapsed="false">
      <c r="A5" s="41" t="s">
        <v>440</v>
      </c>
      <c r="B5" s="26" t="n">
        <v>6</v>
      </c>
      <c r="C5" s="24" t="s">
        <v>441</v>
      </c>
      <c r="D5" s="24" t="n">
        <v>2</v>
      </c>
      <c r="E5" s="24" t="n">
        <v>0</v>
      </c>
      <c r="F5" s="25" t="s">
        <v>442</v>
      </c>
      <c r="G5" s="25" t="s">
        <v>443</v>
      </c>
      <c r="H5" s="34" t="n">
        <f aca="false">SUMIF(WBS!$M$2:$M$103,$A5,WBS!$F$2:$F$103)</f>
        <v>540</v>
      </c>
    </row>
    <row r="6" customFormat="false" ht="61.5" hidden="false" customHeight="true" outlineLevel="0" collapsed="false">
      <c r="A6" s="41" t="s">
        <v>444</v>
      </c>
      <c r="B6" s="26" t="n">
        <v>10</v>
      </c>
      <c r="C6" s="24" t="s">
        <v>445</v>
      </c>
      <c r="D6" s="24" t="n">
        <v>4</v>
      </c>
      <c r="E6" s="24" t="n">
        <v>2</v>
      </c>
      <c r="F6" s="25" t="s">
        <v>446</v>
      </c>
      <c r="G6" s="25" t="s">
        <v>447</v>
      </c>
      <c r="H6" s="34" t="n">
        <f aca="false">SUMIF(WBS!$M$2:$M$103,$A6,WBS!$F$2:$F$103)</f>
        <v>877</v>
      </c>
    </row>
    <row r="7" customFormat="false" ht="61.5" hidden="false" customHeight="true" outlineLevel="0" collapsed="false">
      <c r="A7" s="41" t="s">
        <v>448</v>
      </c>
      <c r="B7" s="26" t="n">
        <v>16</v>
      </c>
      <c r="C7" s="24" t="s">
        <v>449</v>
      </c>
      <c r="D7" s="24" t="n">
        <v>6</v>
      </c>
      <c r="E7" s="24" t="n">
        <v>4</v>
      </c>
      <c r="F7" s="25" t="s">
        <v>450</v>
      </c>
      <c r="G7" s="25" t="s">
        <v>451</v>
      </c>
      <c r="H7" s="34" t="n">
        <f aca="false">SUMIF(WBS!$M$2:$M$103,$A7,WBS!$F$2:$F$103)</f>
        <v>1070</v>
      </c>
    </row>
    <row r="8" customFormat="false" ht="61.5" hidden="false" customHeight="true" outlineLevel="0" collapsed="false">
      <c r="A8" s="41" t="s">
        <v>452</v>
      </c>
      <c r="B8" s="26" t="n">
        <v>27</v>
      </c>
      <c r="C8" s="24" t="s">
        <v>453</v>
      </c>
      <c r="D8" s="24" t="n">
        <v>8</v>
      </c>
      <c r="E8" s="24" t="n">
        <v>6</v>
      </c>
      <c r="F8" s="25" t="s">
        <v>454</v>
      </c>
      <c r="G8" s="25" t="s">
        <v>455</v>
      </c>
      <c r="H8" s="34" t="n">
        <f aca="false">SUMIF(WBS!$M$2:$M$103,$A8,WBS!$F$2:$F$103)</f>
        <v>1165</v>
      </c>
    </row>
    <row r="9" customFormat="false" ht="61.5" hidden="false" customHeight="true" outlineLevel="0" collapsed="false">
      <c r="A9" s="41" t="s">
        <v>456</v>
      </c>
      <c r="B9" s="26" t="n">
        <v>30</v>
      </c>
      <c r="C9" s="24" t="s">
        <v>457</v>
      </c>
      <c r="D9" s="24" t="n">
        <v>10</v>
      </c>
      <c r="E9" s="24" t="n">
        <v>8</v>
      </c>
      <c r="F9" s="25" t="s">
        <v>458</v>
      </c>
      <c r="G9" s="25" t="s">
        <v>459</v>
      </c>
      <c r="H9" s="34" t="n">
        <f aca="false">SUMIF(WBS!$M$2:$M$103,$A9,WBS!$F$2:$F$103)</f>
        <v>708</v>
      </c>
    </row>
    <row r="10" customFormat="false" ht="61.5" hidden="false" customHeight="true" outlineLevel="0" collapsed="false">
      <c r="A10" s="41" t="s">
        <v>460</v>
      </c>
      <c r="B10" s="26" t="n">
        <v>36</v>
      </c>
      <c r="C10" s="24" t="s">
        <v>461</v>
      </c>
      <c r="D10" s="24" t="n">
        <v>12</v>
      </c>
      <c r="E10" s="24" t="n">
        <v>10</v>
      </c>
      <c r="F10" s="25" t="s">
        <v>462</v>
      </c>
      <c r="G10" s="25" t="s">
        <v>463</v>
      </c>
      <c r="H10" s="34" t="n">
        <f aca="false">SUMIF(WBS!$M$2:$M$103,$A10,WBS!$F$2:$F$103)</f>
        <v>825</v>
      </c>
    </row>
    <row r="11" customFormat="false" ht="15" hidden="false" customHeight="false" outlineLevel="0" collapsed="false">
      <c r="G11" s="31" t="s">
        <v>360</v>
      </c>
      <c r="H11" s="32" t="n">
        <f aca="false">SUM(H5:H10)</f>
        <v>5185</v>
      </c>
    </row>
    <row r="13" customFormat="false" ht="15" hidden="false" customHeight="false" outlineLevel="0" collapsed="false">
      <c r="A13" s="5" t="s">
        <v>464</v>
      </c>
    </row>
    <row r="14" customFormat="false" ht="15" hidden="false" customHeight="false" outlineLevel="0" collapsed="false">
      <c r="A14" s="5" t="s">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3" min="2" style="0" width="13"/>
    <col collapsed="false" customWidth="true" hidden="false" outlineLevel="0" max="4" min="4" style="0" width="94"/>
    <col collapsed="false" customWidth="true" hidden="false" outlineLevel="0" max="5" min="5" style="0" width="22"/>
  </cols>
  <sheetData>
    <row r="1" customFormat="false" ht="17.35" hidden="false" customHeight="false" outlineLevel="0" collapsed="false">
      <c r="A1" s="1" t="s">
        <v>466</v>
      </c>
    </row>
    <row r="2" customFormat="false" ht="15" hidden="false" customHeight="false" outlineLevel="0" collapsed="false">
      <c r="A2" s="2" t="s">
        <v>467</v>
      </c>
    </row>
    <row r="4" customFormat="false" ht="30" hidden="false" customHeight="true" outlineLevel="0" collapsed="false">
      <c r="A4" s="6" t="s">
        <v>468</v>
      </c>
      <c r="B4" s="6" t="s">
        <v>469</v>
      </c>
      <c r="C4" s="6" t="s">
        <v>470</v>
      </c>
      <c r="D4" s="6" t="s">
        <v>471</v>
      </c>
      <c r="E4" s="6" t="s">
        <v>435</v>
      </c>
    </row>
    <row r="5" customFormat="false" ht="31.5" hidden="false" customHeight="true" outlineLevel="0" collapsed="false">
      <c r="A5" s="23" t="s">
        <v>472</v>
      </c>
      <c r="B5" s="42" t="n">
        <f aca="false">Assumptions!$B$10+(1-1)*7*Assumptions!$B$11</f>
        <v>46296</v>
      </c>
      <c r="C5" s="42" t="n">
        <f aca="false">B5+7*Assumptions!$B$11-1</f>
        <v>46309</v>
      </c>
      <c r="D5" s="25" t="s">
        <v>473</v>
      </c>
      <c r="E5" s="23"/>
    </row>
    <row r="6" customFormat="false" ht="31.5" hidden="false" customHeight="true" outlineLevel="0" collapsed="false">
      <c r="A6" s="14" t="s">
        <v>474</v>
      </c>
      <c r="B6" s="43" t="n">
        <f aca="false">Assumptions!$B$10+(2-1)*7*Assumptions!$B$11</f>
        <v>46310</v>
      </c>
      <c r="C6" s="43" t="n">
        <f aca="false">B6+7*Assumptions!$B$11-1</f>
        <v>46323</v>
      </c>
      <c r="D6" s="16" t="s">
        <v>475</v>
      </c>
      <c r="E6" s="14"/>
    </row>
    <row r="7" customFormat="false" ht="31.5" hidden="false" customHeight="true" outlineLevel="0" collapsed="false">
      <c r="A7" s="23" t="s">
        <v>476</v>
      </c>
      <c r="B7" s="42" t="n">
        <f aca="false">Assumptions!$B$10+(3-1)*7*Assumptions!$B$11</f>
        <v>46324</v>
      </c>
      <c r="C7" s="42" t="n">
        <f aca="false">B7+7*Assumptions!$B$11-1</f>
        <v>46337</v>
      </c>
      <c r="D7" s="25" t="s">
        <v>477</v>
      </c>
      <c r="E7" s="23"/>
    </row>
    <row r="8" customFormat="false" ht="31.5" hidden="false" customHeight="true" outlineLevel="0" collapsed="false">
      <c r="A8" s="14" t="s">
        <v>478</v>
      </c>
      <c r="B8" s="43" t="n">
        <f aca="false">Assumptions!$B$10+(4-1)*7*Assumptions!$B$11</f>
        <v>46338</v>
      </c>
      <c r="C8" s="43" t="n">
        <f aca="false">B8+7*Assumptions!$B$11-1</f>
        <v>46351</v>
      </c>
      <c r="D8" s="16" t="s">
        <v>479</v>
      </c>
      <c r="E8" s="14"/>
    </row>
    <row r="9" customFormat="false" ht="31.5" hidden="false" customHeight="true" outlineLevel="0" collapsed="false">
      <c r="A9" s="23" t="s">
        <v>480</v>
      </c>
      <c r="B9" s="42" t="n">
        <f aca="false">Assumptions!$B$10+(5-1)*7*Assumptions!$B$11</f>
        <v>46352</v>
      </c>
      <c r="C9" s="42" t="n">
        <f aca="false">B9+7*Assumptions!$B$11-1</f>
        <v>46365</v>
      </c>
      <c r="D9" s="25" t="s">
        <v>481</v>
      </c>
      <c r="E9" s="23"/>
    </row>
    <row r="10" customFormat="false" ht="31.5" hidden="false" customHeight="true" outlineLevel="0" collapsed="false">
      <c r="A10" s="14" t="s">
        <v>482</v>
      </c>
      <c r="B10" s="43" t="n">
        <f aca="false">Assumptions!$B$10+(6-1)*7*Assumptions!$B$11</f>
        <v>46366</v>
      </c>
      <c r="C10" s="43" t="n">
        <f aca="false">B10+7*Assumptions!$B$11-1</f>
        <v>46379</v>
      </c>
      <c r="D10" s="16" t="s">
        <v>483</v>
      </c>
      <c r="E10" s="14" t="s">
        <v>484</v>
      </c>
    </row>
    <row r="11" customFormat="false" ht="31.5" hidden="false" customHeight="true" outlineLevel="0" collapsed="false">
      <c r="A11" s="23" t="s">
        <v>485</v>
      </c>
      <c r="B11" s="42" t="n">
        <f aca="false">Assumptions!$B$10+(7-1)*7*Assumptions!$B$11</f>
        <v>46380</v>
      </c>
      <c r="C11" s="42" t="n">
        <f aca="false">B11+7*Assumptions!$B$11-1</f>
        <v>46393</v>
      </c>
      <c r="D11" s="25" t="s">
        <v>486</v>
      </c>
      <c r="E11" s="23"/>
    </row>
    <row r="12" customFormat="false" ht="31.5" hidden="false" customHeight="true" outlineLevel="0" collapsed="false">
      <c r="A12" s="14" t="s">
        <v>487</v>
      </c>
      <c r="B12" s="43" t="n">
        <f aca="false">Assumptions!$B$10+(8-1)*7*Assumptions!$B$11</f>
        <v>46394</v>
      </c>
      <c r="C12" s="43" t="n">
        <f aca="false">B12+7*Assumptions!$B$11-1</f>
        <v>46407</v>
      </c>
      <c r="D12" s="16" t="s">
        <v>488</v>
      </c>
      <c r="E12" s="14"/>
    </row>
    <row r="13" customFormat="false" ht="31.5" hidden="false" customHeight="true" outlineLevel="0" collapsed="false">
      <c r="A13" s="23" t="s">
        <v>489</v>
      </c>
      <c r="B13" s="42" t="n">
        <f aca="false">Assumptions!$B$10+(9-1)*7*Assumptions!$B$11</f>
        <v>46408</v>
      </c>
      <c r="C13" s="42" t="n">
        <f aca="false">B13+7*Assumptions!$B$11-1</f>
        <v>46421</v>
      </c>
      <c r="D13" s="25" t="s">
        <v>490</v>
      </c>
      <c r="E13" s="23"/>
    </row>
    <row r="14" customFormat="false" ht="31.5" hidden="false" customHeight="true" outlineLevel="0" collapsed="false">
      <c r="A14" s="14" t="s">
        <v>491</v>
      </c>
      <c r="B14" s="43" t="n">
        <f aca="false">Assumptions!$B$10+(10-1)*7*Assumptions!$B$11</f>
        <v>46422</v>
      </c>
      <c r="C14" s="43" t="n">
        <f aca="false">B14+7*Assumptions!$B$11-1</f>
        <v>46435</v>
      </c>
      <c r="D14" s="16" t="s">
        <v>492</v>
      </c>
      <c r="E14" s="14"/>
    </row>
    <row r="15" customFormat="false" ht="31.5" hidden="false" customHeight="true" outlineLevel="0" collapsed="false">
      <c r="A15" s="23" t="s">
        <v>493</v>
      </c>
      <c r="B15" s="42" t="n">
        <f aca="false">Assumptions!$B$10+(11-1)*7*Assumptions!$B$11</f>
        <v>46436</v>
      </c>
      <c r="C15" s="42" t="n">
        <f aca="false">B15+7*Assumptions!$B$11-1</f>
        <v>46449</v>
      </c>
      <c r="D15" s="25" t="s">
        <v>494</v>
      </c>
      <c r="E15" s="23"/>
    </row>
    <row r="16" customFormat="false" ht="31.5" hidden="false" customHeight="true" outlineLevel="0" collapsed="false">
      <c r="A16" s="14" t="s">
        <v>495</v>
      </c>
      <c r="B16" s="43" t="n">
        <f aca="false">Assumptions!$B$10+(12-1)*7*Assumptions!$B$11</f>
        <v>46450</v>
      </c>
      <c r="C16" s="43" t="n">
        <f aca="false">B16+7*Assumptions!$B$11-1</f>
        <v>46463</v>
      </c>
      <c r="D16" s="16" t="s">
        <v>496</v>
      </c>
      <c r="E16" s="14" t="s">
        <v>378</v>
      </c>
    </row>
    <row r="18" customFormat="false" ht="15" hidden="false" customHeight="false" outlineLevel="0" collapsed="false">
      <c r="A18" s="7" t="s">
        <v>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2"/>
    <col collapsed="false" customWidth="true" hidden="false" outlineLevel="0" max="4" min="4" style="0" width="10"/>
    <col collapsed="false" customWidth="true" hidden="false" outlineLevel="0" max="5" min="5" style="0" width="52"/>
    <col collapsed="false" customWidth="true" hidden="false" outlineLevel="0" max="6" min="6" style="0" width="44"/>
  </cols>
  <sheetData>
    <row r="1" customFormat="false" ht="17.35" hidden="false" customHeight="false" outlineLevel="0" collapsed="false">
      <c r="A1" s="1" t="s">
        <v>498</v>
      </c>
    </row>
    <row r="2" customFormat="false" ht="15" hidden="false" customHeight="false" outlineLevel="0" collapsed="false">
      <c r="A2" s="2" t="s">
        <v>499</v>
      </c>
    </row>
    <row r="4" customFormat="false" ht="30" hidden="false" customHeight="true" outlineLevel="0" collapsed="false">
      <c r="A4" s="6" t="s">
        <v>90</v>
      </c>
      <c r="B4" s="6" t="s">
        <v>500</v>
      </c>
      <c r="C4" s="6" t="s">
        <v>501</v>
      </c>
      <c r="D4" s="6" t="s">
        <v>502</v>
      </c>
      <c r="E4" s="6" t="s">
        <v>503</v>
      </c>
      <c r="F4" s="6" t="s">
        <v>504</v>
      </c>
    </row>
    <row r="5" customFormat="false" ht="15" hidden="false" customHeight="false" outlineLevel="0" collapsed="false">
      <c r="A5" s="44" t="s">
        <v>116</v>
      </c>
      <c r="B5" s="40" t="s">
        <v>422</v>
      </c>
      <c r="C5" s="26" t="n">
        <v>3</v>
      </c>
      <c r="D5" s="24" t="s">
        <v>505</v>
      </c>
      <c r="E5" s="25" t="s">
        <v>506</v>
      </c>
      <c r="F5" s="25" t="s">
        <v>507</v>
      </c>
    </row>
    <row r="6" customFormat="false" ht="15" hidden="false" customHeight="false" outlineLevel="0" collapsed="false">
      <c r="A6" s="44" t="s">
        <v>169</v>
      </c>
      <c r="B6" s="40" t="s">
        <v>423</v>
      </c>
      <c r="C6" s="26" t="n">
        <v>2</v>
      </c>
      <c r="D6" s="24" t="s">
        <v>505</v>
      </c>
      <c r="E6" s="25" t="s">
        <v>508</v>
      </c>
      <c r="F6" s="25" t="s">
        <v>509</v>
      </c>
    </row>
    <row r="7" customFormat="false" ht="15" hidden="false" customHeight="false" outlineLevel="0" collapsed="false">
      <c r="A7" s="44" t="s">
        <v>214</v>
      </c>
      <c r="B7" s="40" t="s">
        <v>424</v>
      </c>
      <c r="C7" s="26" t="n">
        <v>2</v>
      </c>
      <c r="D7" s="24" t="s">
        <v>510</v>
      </c>
      <c r="E7" s="25" t="s">
        <v>511</v>
      </c>
      <c r="F7" s="25" t="s">
        <v>512</v>
      </c>
    </row>
    <row r="8" customFormat="false" ht="15" hidden="false" customHeight="false" outlineLevel="0" collapsed="false">
      <c r="A8" s="44" t="s">
        <v>122</v>
      </c>
      <c r="B8" s="40" t="s">
        <v>425</v>
      </c>
      <c r="C8" s="26" t="n">
        <v>2</v>
      </c>
      <c r="D8" s="24" t="s">
        <v>505</v>
      </c>
      <c r="E8" s="25" t="s">
        <v>513</v>
      </c>
      <c r="F8" s="25" t="s">
        <v>514</v>
      </c>
    </row>
    <row r="9" customFormat="false" ht="15" hidden="false" customHeight="false" outlineLevel="0" collapsed="false">
      <c r="A9" s="44" t="s">
        <v>128</v>
      </c>
      <c r="B9" s="40" t="s">
        <v>426</v>
      </c>
      <c r="C9" s="26" t="n">
        <v>2</v>
      </c>
      <c r="D9" s="24" t="s">
        <v>505</v>
      </c>
      <c r="E9" s="25" t="s">
        <v>515</v>
      </c>
      <c r="F9" s="25" t="s">
        <v>516</v>
      </c>
    </row>
    <row r="10" customFormat="false" ht="15" hidden="false" customHeight="false" outlineLevel="0" collapsed="false">
      <c r="A10" s="44" t="s">
        <v>101</v>
      </c>
      <c r="B10" s="40" t="s">
        <v>427</v>
      </c>
      <c r="C10" s="26" t="n">
        <v>1</v>
      </c>
      <c r="D10" s="24" t="s">
        <v>505</v>
      </c>
      <c r="E10" s="25" t="s">
        <v>517</v>
      </c>
      <c r="F10" s="25" t="s">
        <v>518</v>
      </c>
    </row>
    <row r="11" customFormat="false" ht="15" hidden="false" customHeight="false" outlineLevel="0" collapsed="false">
      <c r="A11" s="44" t="s">
        <v>136</v>
      </c>
      <c r="B11" s="40" t="s">
        <v>428</v>
      </c>
      <c r="C11" s="26" t="n">
        <v>2</v>
      </c>
      <c r="D11" s="24" t="s">
        <v>519</v>
      </c>
      <c r="E11" s="25" t="s">
        <v>520</v>
      </c>
      <c r="F11" s="25" t="s">
        <v>521</v>
      </c>
    </row>
    <row r="12" customFormat="false" ht="15" hidden="false" customHeight="false" outlineLevel="0" collapsed="false">
      <c r="A12" s="44" t="s">
        <v>522</v>
      </c>
      <c r="B12" s="40" t="s">
        <v>523</v>
      </c>
      <c r="C12" s="26" t="n">
        <v>1</v>
      </c>
      <c r="D12" s="24" t="s">
        <v>524</v>
      </c>
      <c r="E12" s="25" t="s">
        <v>525</v>
      </c>
      <c r="F12" s="25" t="s">
        <v>526</v>
      </c>
    </row>
    <row r="13" customFormat="false" ht="15" hidden="false" customHeight="false" outlineLevel="0" collapsed="false">
      <c r="A13" s="44" t="s">
        <v>350</v>
      </c>
      <c r="B13" s="40" t="s">
        <v>429</v>
      </c>
      <c r="C13" s="26" t="n">
        <v>0.5</v>
      </c>
      <c r="D13" s="24" t="s">
        <v>527</v>
      </c>
      <c r="E13" s="25" t="s">
        <v>528</v>
      </c>
      <c r="F13" s="25" t="s">
        <v>526</v>
      </c>
    </row>
    <row r="14" customFormat="false" ht="15" hidden="false" customHeight="false" outlineLevel="0" collapsed="false">
      <c r="B14" s="31" t="s">
        <v>529</v>
      </c>
      <c r="C14" s="45" t="n">
        <f aca="false">SUM(C5:C13)</f>
        <v>15.5</v>
      </c>
    </row>
    <row r="16" customFormat="false" ht="15" hidden="false" customHeight="false" outlineLevel="0" collapsed="false">
      <c r="A16" s="7" t="s">
        <v>530</v>
      </c>
    </row>
    <row r="17" customFormat="false" ht="15" hidden="false" customHeight="false" outlineLevel="0" collapsed="false">
      <c r="A17" s="5" t="s">
        <v>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94"/>
    <col collapsed="false" customWidth="true" hidden="false" outlineLevel="0" max="3" min="3" style="0" width="15"/>
    <col collapsed="false" customWidth="true" hidden="false" outlineLevel="0" max="4" min="4" style="0" width="17"/>
  </cols>
  <sheetData>
    <row r="1" customFormat="false" ht="17.35" hidden="false" customHeight="false" outlineLevel="0" collapsed="false">
      <c r="A1" s="1" t="s">
        <v>532</v>
      </c>
    </row>
    <row r="2" customFormat="false" ht="15" hidden="false" customHeight="false" outlineLevel="0" collapsed="false">
      <c r="A2" s="2" t="s">
        <v>533</v>
      </c>
    </row>
    <row r="4" customFormat="false" ht="30" hidden="false" customHeight="true" outlineLevel="0" collapsed="false">
      <c r="A4" s="6" t="s">
        <v>534</v>
      </c>
      <c r="B4" s="6" t="s">
        <v>535</v>
      </c>
      <c r="C4" s="6" t="s">
        <v>536</v>
      </c>
      <c r="D4" s="6" t="s">
        <v>537</v>
      </c>
    </row>
    <row r="5" customFormat="false" ht="27.75" hidden="false" customHeight="true" outlineLevel="0" collapsed="false">
      <c r="A5" s="23" t="s">
        <v>524</v>
      </c>
      <c r="B5" s="25" t="s">
        <v>538</v>
      </c>
      <c r="C5" s="46" t="n">
        <v>40000</v>
      </c>
      <c r="D5" s="47" t="n">
        <f aca="false">SUM($C$5:C5)</f>
        <v>40000</v>
      </c>
    </row>
    <row r="6" customFormat="false" ht="27.75" hidden="false" customHeight="true" outlineLevel="0" collapsed="false">
      <c r="A6" s="23" t="s">
        <v>539</v>
      </c>
      <c r="B6" s="25" t="s">
        <v>540</v>
      </c>
      <c r="C6" s="46" t="n">
        <v>35000</v>
      </c>
      <c r="D6" s="47" t="n">
        <f aca="false">SUM($C$5:C6)</f>
        <v>75000</v>
      </c>
    </row>
    <row r="7" customFormat="false" ht="27.75" hidden="false" customHeight="true" outlineLevel="0" collapsed="false">
      <c r="A7" s="23" t="s">
        <v>541</v>
      </c>
      <c r="B7" s="25" t="s">
        <v>542</v>
      </c>
      <c r="C7" s="46" t="n">
        <v>30000</v>
      </c>
      <c r="D7" s="47" t="n">
        <f aca="false">SUM($C$5:C7)</f>
        <v>105000</v>
      </c>
    </row>
    <row r="8" customFormat="false" ht="27.75" hidden="false" customHeight="true" outlineLevel="0" collapsed="false">
      <c r="A8" s="23" t="s">
        <v>543</v>
      </c>
      <c r="B8" s="25" t="s">
        <v>544</v>
      </c>
      <c r="C8" s="46" t="n">
        <v>35000</v>
      </c>
      <c r="D8" s="47" t="n">
        <f aca="false">SUM($C$5:C8)</f>
        <v>140000</v>
      </c>
    </row>
    <row r="9" customFormat="false" ht="27.75" hidden="false" customHeight="true" outlineLevel="0" collapsed="false">
      <c r="A9" s="23" t="s">
        <v>545</v>
      </c>
      <c r="B9" s="25" t="s">
        <v>546</v>
      </c>
      <c r="C9" s="46" t="n">
        <v>25000</v>
      </c>
      <c r="D9" s="47" t="n">
        <f aca="false">SUM($C$5:C9)</f>
        <v>165000</v>
      </c>
    </row>
    <row r="10" customFormat="false" ht="15" hidden="false" customHeight="false" outlineLevel="0" collapsed="false">
      <c r="B10" s="31" t="s">
        <v>360</v>
      </c>
      <c r="C10" s="48" t="n">
        <f aca="false">SUM(C5:C9)</f>
        <v>165000</v>
      </c>
    </row>
    <row r="12" customFormat="false" ht="15" hidden="false" customHeight="false" outlineLevel="0" collapsed="false">
      <c r="A12" s="2" t="s">
        <v>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64"/>
  </cols>
  <sheetData>
    <row r="1" customFormat="false" ht="17.35" hidden="false" customHeight="false" outlineLevel="0" collapsed="false">
      <c r="A1" s="1" t="s">
        <v>548</v>
      </c>
    </row>
    <row r="2" customFormat="false" ht="15" hidden="false" customHeight="false" outlineLevel="0" collapsed="false">
      <c r="A2" s="2" t="s">
        <v>549</v>
      </c>
    </row>
    <row r="4" customFormat="false" ht="30" hidden="false" customHeight="true" outlineLevel="0" collapsed="false">
      <c r="A4" s="6" t="s">
        <v>550</v>
      </c>
      <c r="B4" s="6" t="s">
        <v>551</v>
      </c>
      <c r="C4" s="6" t="s">
        <v>84</v>
      </c>
      <c r="D4" s="6" t="s">
        <v>85</v>
      </c>
      <c r="E4" s="6" t="s">
        <v>47</v>
      </c>
      <c r="F4" s="6" t="s">
        <v>552</v>
      </c>
      <c r="G4" s="6" t="s">
        <v>553</v>
      </c>
      <c r="H4" s="6" t="s">
        <v>554</v>
      </c>
    </row>
    <row r="5" customFormat="false" ht="36" hidden="false" customHeight="true" outlineLevel="0" collapsed="false">
      <c r="A5" s="44" t="s">
        <v>555</v>
      </c>
      <c r="B5" s="40" t="s">
        <v>556</v>
      </c>
      <c r="C5" s="34" t="n">
        <f aca="false">Summary!$C$24</f>
        <v>5185</v>
      </c>
      <c r="D5" s="11" t="n">
        <f aca="false">C5*Assumptions!$B$7</f>
        <v>6481.25</v>
      </c>
      <c r="E5" s="26" t="n">
        <v>22</v>
      </c>
      <c r="F5" s="13" t="n">
        <f aca="false">IFERROR(D5/(E5*Assumptions!$B$6/12),0)</f>
        <v>18.6064593301435</v>
      </c>
      <c r="G5" s="49" t="n">
        <f aca="false">ROUND(F5+Assumptions!$B$12,0)</f>
        <v>24</v>
      </c>
      <c r="H5" s="25" t="s">
        <v>557</v>
      </c>
    </row>
    <row r="6" customFormat="false" ht="36" hidden="false" customHeight="true" outlineLevel="0" collapsed="false">
      <c r="A6" s="44" t="s">
        <v>558</v>
      </c>
      <c r="B6" s="40" t="s">
        <v>556</v>
      </c>
      <c r="C6" s="34" t="n">
        <f aca="false">Summary!$C$24</f>
        <v>5185</v>
      </c>
      <c r="D6" s="11" t="n">
        <f aca="false">C6*Assumptions!$B$7</f>
        <v>6481.25</v>
      </c>
      <c r="E6" s="26" t="n">
        <v>14</v>
      </c>
      <c r="F6" s="13" t="n">
        <f aca="false">IFERROR(D6/(E6*Assumptions!$B$6/12),0)</f>
        <v>29.2387218045113</v>
      </c>
      <c r="G6" s="49" t="n">
        <f aca="false">ROUND(F6+Assumptions!$B$12,0)</f>
        <v>34</v>
      </c>
      <c r="H6" s="25" t="s">
        <v>559</v>
      </c>
    </row>
    <row r="7" customFormat="false" ht="36" hidden="false" customHeight="true" outlineLevel="0" collapsed="false">
      <c r="A7" s="44" t="s">
        <v>560</v>
      </c>
      <c r="B7" s="40" t="s">
        <v>556</v>
      </c>
      <c r="C7" s="34" t="n">
        <f aca="false">Summary!$C$24</f>
        <v>5185</v>
      </c>
      <c r="D7" s="11" t="n">
        <f aca="false">C7*Assumptions!$B$7</f>
        <v>6481.25</v>
      </c>
      <c r="E7" s="26" t="n">
        <v>10</v>
      </c>
      <c r="F7" s="13" t="n">
        <f aca="false">IFERROR(D7/(E7*Assumptions!$B$6/12),0)</f>
        <v>40.9342105263158</v>
      </c>
      <c r="G7" s="49" t="n">
        <f aca="false">ROUND(F7+Assumptions!$B$12,0)</f>
        <v>46</v>
      </c>
      <c r="H7" s="25" t="s">
        <v>561</v>
      </c>
    </row>
    <row r="8" customFormat="false" ht="36" hidden="false" customHeight="true" outlineLevel="0" collapsed="false">
      <c r="A8" s="44" t="s">
        <v>562</v>
      </c>
      <c r="B8" s="40" t="s">
        <v>563</v>
      </c>
      <c r="C8" s="34" t="n">
        <f aca="false">SUMIF(WBS!$E$2:$E$103,"T1",WBS!$F$2:$F$103)</f>
        <v>3345</v>
      </c>
      <c r="D8" s="11" t="n">
        <f aca="false">C8*Assumptions!$B$7</f>
        <v>4181.25</v>
      </c>
      <c r="E8" s="26" t="n">
        <v>14</v>
      </c>
      <c r="F8" s="13" t="n">
        <f aca="false">IFERROR(D8/(E8*Assumptions!$B$6/12),0)</f>
        <v>18.8627819548872</v>
      </c>
      <c r="G8" s="49" t="n">
        <f aca="false">ROUND(F8+Assumptions!$B$12,0)</f>
        <v>24</v>
      </c>
      <c r="H8" s="25" t="s">
        <v>564</v>
      </c>
    </row>
    <row r="9" customFormat="false" ht="36" hidden="false" customHeight="true" outlineLevel="0" collapsed="false">
      <c r="A9" s="44" t="s">
        <v>565</v>
      </c>
      <c r="B9" s="40" t="s">
        <v>566</v>
      </c>
      <c r="C9" s="34" t="n">
        <f aca="false">SUMIF(WBS!$E$2:$E$103,"T1",WBS!$F$2:$F$103)+SUMIF(WBS!$E$2:$E$103,"T2",WBS!$F$2:$F$103)</f>
        <v>4772</v>
      </c>
      <c r="D9" s="11" t="n">
        <f aca="false">C9*Assumptions!$B$7</f>
        <v>5965</v>
      </c>
      <c r="E9" s="26" t="n">
        <v>14</v>
      </c>
      <c r="F9" s="13" t="n">
        <f aca="false">IFERROR(D9/(E9*Assumptions!$B$6/12),0)</f>
        <v>26.9097744360902</v>
      </c>
      <c r="G9" s="49" t="n">
        <f aca="false">ROUND(F9+Assumptions!$B$12,0)</f>
        <v>32</v>
      </c>
      <c r="H9" s="25" t="s">
        <v>567</v>
      </c>
    </row>
    <row r="11" customFormat="false" ht="15" hidden="false" customHeight="false" outlineLevel="0" collapsed="false">
      <c r="A11" s="7" t="s">
        <v>568</v>
      </c>
    </row>
    <row r="13" customFormat="false" ht="15" hidden="false" customHeight="false" outlineLevel="0" collapsed="false">
      <c r="A13" s="5" t="s">
        <v>569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2026-09-23T07:20:01Z</dcterms:created>
  <dc:creator>openpyxl</dc:creator>
  <dc:description/>
  <dc:language>en-US</dc:language>
  <cp:lastModifiedBy/>
  <dcterms:modified xsi:type="dcterms:W3CDTF">2026-09-23T07:20:01Z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